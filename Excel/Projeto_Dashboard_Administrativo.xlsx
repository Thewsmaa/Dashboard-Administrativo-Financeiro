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tos\Dashboard-Administrativo-Financeiro\Excel\"/>
    </mc:Choice>
  </mc:AlternateContent>
  <xr:revisionPtr revIDLastSave="0" documentId="13_ncr:1_{1C3025CB-EC31-4FC6-B119-3B9D4650A38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rojeto" sheetId="1" r:id="rId1"/>
    <sheet name="Base_Dados" sheetId="2" r:id="rId2"/>
    <sheet name="Tabelas_Dinamicas" sheetId="7" r:id="rId3"/>
    <sheet name="Dashboard_Excel" sheetId="9" r:id="rId4"/>
    <sheet name="Analise" sheetId="5" r:id="rId5"/>
    <sheet name="KPIs_Referencia" sheetId="3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9" l="1"/>
  <c r="K6" i="9"/>
  <c r="H6" i="9"/>
  <c r="E6" i="9"/>
  <c r="B6" i="9"/>
  <c r="E3" i="5"/>
  <c r="E5" i="5"/>
  <c r="E2" i="5"/>
  <c r="E4" i="5"/>
  <c r="B8" i="5"/>
  <c r="B7" i="5"/>
  <c r="B6" i="5"/>
  <c r="B5" i="5"/>
  <c r="B4" i="5"/>
  <c r="B3" i="5"/>
  <c r="B2" i="5"/>
</calcChain>
</file>

<file path=xl/sharedStrings.xml><?xml version="1.0" encoding="utf-8"?>
<sst xmlns="http://schemas.openxmlformats.org/spreadsheetml/2006/main" count="4893" uniqueCount="703">
  <si>
    <t>Item</t>
  </si>
  <si>
    <t>Descrição</t>
  </si>
  <si>
    <t>Projeto</t>
  </si>
  <si>
    <t>Dashboard de Controle Administrativo e Financeiro</t>
  </si>
  <si>
    <t>Objetivo</t>
  </si>
  <si>
    <t>Centralizar operações e acompanhar faturamento, pagamentos e inadimplência.</t>
  </si>
  <si>
    <t>Empresa fictícia</t>
  </si>
  <si>
    <t>Goiás Office Solutions</t>
  </si>
  <si>
    <t>Período</t>
  </si>
  <si>
    <t>01/01/2026 a 31/07/2026</t>
  </si>
  <si>
    <t>Registros</t>
  </si>
  <si>
    <t>600 operações</t>
  </si>
  <si>
    <t>Ferramentas</t>
  </si>
  <si>
    <t>Excel + Power BI</t>
  </si>
  <si>
    <t>Fluxo</t>
  </si>
  <si>
    <t>Base → Tratamento → Indicadores → Dashboard → Power BI</t>
  </si>
  <si>
    <t>Data</t>
  </si>
  <si>
    <t>Nota_Fiscal</t>
  </si>
  <si>
    <t>Cliente</t>
  </si>
  <si>
    <t>Departamento</t>
  </si>
  <si>
    <t>Categoria</t>
  </si>
  <si>
    <t>Valor_Operacao</t>
  </si>
  <si>
    <t>Forma_Pagamento</t>
  </si>
  <si>
    <t>Responsavel</t>
  </si>
  <si>
    <t>Prazo_Dias</t>
  </si>
  <si>
    <t>Data_Vencimento</t>
  </si>
  <si>
    <t>Status</t>
  </si>
  <si>
    <t>Data_Pagamento</t>
  </si>
  <si>
    <t>Valor_Pago</t>
  </si>
  <si>
    <t>Valor_Em_Aberto</t>
  </si>
  <si>
    <t>Dias_Atraso</t>
  </si>
  <si>
    <t>Mes</t>
  </si>
  <si>
    <t>NF-10559</t>
  </si>
  <si>
    <t>Beta Distribuidora</t>
  </si>
  <si>
    <t>Comercial</t>
  </si>
  <si>
    <t>Equipamentos</t>
  </si>
  <si>
    <t>PIX</t>
  </si>
  <si>
    <t>Diego</t>
  </si>
  <si>
    <t>Em aberto</t>
  </si>
  <si>
    <t>2026-01</t>
  </si>
  <si>
    <t>NF-10147</t>
  </si>
  <si>
    <t>Maxi Atacado</t>
  </si>
  <si>
    <t>Financeiro</t>
  </si>
  <si>
    <t>Consultoria</t>
  </si>
  <si>
    <t>Boleto</t>
  </si>
  <si>
    <t>Ana</t>
  </si>
  <si>
    <t>NF-10511</t>
  </si>
  <si>
    <t>Goiás Office</t>
  </si>
  <si>
    <t>Serviços</t>
  </si>
  <si>
    <t>Cartão</t>
  </si>
  <si>
    <t>Pago</t>
  </si>
  <si>
    <t>NF-10565</t>
  </si>
  <si>
    <t>Administrativo</t>
  </si>
  <si>
    <t>Software</t>
  </si>
  <si>
    <t>NF-10298</t>
  </si>
  <si>
    <t>NF-10232</t>
  </si>
  <si>
    <t>NovaTech Soluções</t>
  </si>
  <si>
    <t>Material de Escritório</t>
  </si>
  <si>
    <t>Lucas</t>
  </si>
  <si>
    <t>NF-10021</t>
  </si>
  <si>
    <t>NF-10078</t>
  </si>
  <si>
    <t>Jardim Suprimentos</t>
  </si>
  <si>
    <t>Bruno</t>
  </si>
  <si>
    <t>NF-10266</t>
  </si>
  <si>
    <t>Alfa Comércio Ltda.</t>
  </si>
  <si>
    <t>Operações</t>
  </si>
  <si>
    <t>Camila</t>
  </si>
  <si>
    <t>NF-10200</t>
  </si>
  <si>
    <t>Sul Center</t>
  </si>
  <si>
    <t>Fernanda</t>
  </si>
  <si>
    <t>NF-10377</t>
  </si>
  <si>
    <t>Transferência</t>
  </si>
  <si>
    <t>Em atraso</t>
  </si>
  <si>
    <t>NF-10561</t>
  </si>
  <si>
    <t>Nexus Consultoria</t>
  </si>
  <si>
    <t>NF-10082</t>
  </si>
  <si>
    <t>NF-10125</t>
  </si>
  <si>
    <t>NF-10148</t>
  </si>
  <si>
    <t>NF-10475</t>
  </si>
  <si>
    <t>NF-10386</t>
  </si>
  <si>
    <t>Capital Empresarial</t>
  </si>
  <si>
    <t>NF-10478</t>
  </si>
  <si>
    <t>Central Materiais</t>
  </si>
  <si>
    <t>NF-10292</t>
  </si>
  <si>
    <t>Prime Serviços</t>
  </si>
  <si>
    <t>NF-10364</t>
  </si>
  <si>
    <t>NF-10441</t>
  </si>
  <si>
    <t>NF-10597</t>
  </si>
  <si>
    <t>NF-10471</t>
  </si>
  <si>
    <t>NF-10069</t>
  </si>
  <si>
    <t>Aparecida Comercial</t>
  </si>
  <si>
    <t>NF-10113</t>
  </si>
  <si>
    <t>NF-10059</t>
  </si>
  <si>
    <t>NF-10305</t>
  </si>
  <si>
    <t>NF-10550</t>
  </si>
  <si>
    <t>NF-10285</t>
  </si>
  <si>
    <t>NF-10221</t>
  </si>
  <si>
    <t>NF-10590</t>
  </si>
  <si>
    <t>NF-10131</t>
  </si>
  <si>
    <t>NF-10580</t>
  </si>
  <si>
    <t>NF-10433</t>
  </si>
  <si>
    <t>NF-10488</t>
  </si>
  <si>
    <t>NF-10170</t>
  </si>
  <si>
    <t>NF-10058</t>
  </si>
  <si>
    <t>NF-10090</t>
  </si>
  <si>
    <t>NF-10108</t>
  </si>
  <si>
    <t>NF-10003</t>
  </si>
  <si>
    <t>NF-10467</t>
  </si>
  <si>
    <t>NF-10093</t>
  </si>
  <si>
    <t>NF-10039</t>
  </si>
  <si>
    <t>NF-10154</t>
  </si>
  <si>
    <t>NF-10520</t>
  </si>
  <si>
    <t>NF-10562</t>
  </si>
  <si>
    <t>NF-10381</t>
  </si>
  <si>
    <t>NF-10420</t>
  </si>
  <si>
    <t>NF-10403</t>
  </si>
  <si>
    <t>NF-10054</t>
  </si>
  <si>
    <t>NF-10497</t>
  </si>
  <si>
    <t>NF-10439</t>
  </si>
  <si>
    <t>NF-10051</t>
  </si>
  <si>
    <t>NF-10007</t>
  </si>
  <si>
    <t>NF-10367</t>
  </si>
  <si>
    <t>NF-10343</t>
  </si>
  <si>
    <t>NF-10028</t>
  </si>
  <si>
    <t>NF-10358</t>
  </si>
  <si>
    <t>NF-10525</t>
  </si>
  <si>
    <t>NF-10032</t>
  </si>
  <si>
    <t>NF-10549</t>
  </si>
  <si>
    <t>NF-10504</t>
  </si>
  <si>
    <t>NF-10390</t>
  </si>
  <si>
    <t>NF-10563</t>
  </si>
  <si>
    <t>NF-10102</t>
  </si>
  <si>
    <t>NF-10252</t>
  </si>
  <si>
    <t>NF-10410</t>
  </si>
  <si>
    <t>NF-10404</t>
  </si>
  <si>
    <t>NF-10428</t>
  </si>
  <si>
    <t>NF-10366</t>
  </si>
  <si>
    <t>NF-10151</t>
  </si>
  <si>
    <t>NF-10195</t>
  </si>
  <si>
    <t>NF-10365</t>
  </si>
  <si>
    <t>NF-10175</t>
  </si>
  <si>
    <t>NF-10182</t>
  </si>
  <si>
    <t>NF-10183</t>
  </si>
  <si>
    <t>NF-10370</t>
  </si>
  <si>
    <t>NF-10127</t>
  </si>
  <si>
    <t>NF-10588</t>
  </si>
  <si>
    <t>NF-10168</t>
  </si>
  <si>
    <t>NF-10534</t>
  </si>
  <si>
    <t>NF-10368</t>
  </si>
  <si>
    <t>NF-10187</t>
  </si>
  <si>
    <t>NF-10412</t>
  </si>
  <si>
    <t>2026-02</t>
  </si>
  <si>
    <t>NF-10450</t>
  </si>
  <si>
    <t>NF-10352</t>
  </si>
  <si>
    <t>NF-10123</t>
  </si>
  <si>
    <t>NF-10341</t>
  </si>
  <si>
    <t>NF-10133</t>
  </si>
  <si>
    <t>NF-10574</t>
  </si>
  <si>
    <t>NF-10547</t>
  </si>
  <si>
    <t>NF-10553</t>
  </si>
  <si>
    <t>NF-10512</t>
  </si>
  <si>
    <t>NF-10378</t>
  </si>
  <si>
    <t>NF-10071</t>
  </si>
  <si>
    <t>NF-10141</t>
  </si>
  <si>
    <t>NF-10594</t>
  </si>
  <si>
    <t>NF-10169</t>
  </si>
  <si>
    <t>NF-10437</t>
  </si>
  <si>
    <t>NF-10389</t>
  </si>
  <si>
    <t>NF-10137</t>
  </si>
  <si>
    <t>NF-10303</t>
  </si>
  <si>
    <t>NF-10251</t>
  </si>
  <si>
    <t>NF-10360</t>
  </si>
  <si>
    <t>NF-10024</t>
  </si>
  <si>
    <t>NF-10281</t>
  </si>
  <si>
    <t>NF-10426</t>
  </si>
  <si>
    <t>NF-10545</t>
  </si>
  <si>
    <t>NF-10222</t>
  </si>
  <si>
    <t>NF-10097</t>
  </si>
  <si>
    <t>NF-10126</t>
  </si>
  <si>
    <t>NF-10106</t>
  </si>
  <si>
    <t>NF-10156</t>
  </si>
  <si>
    <t>NF-10290</t>
  </si>
  <si>
    <t>NF-10424</t>
  </si>
  <si>
    <t>NF-10586</t>
  </si>
  <si>
    <t>NF-10086</t>
  </si>
  <si>
    <t>NF-10587</t>
  </si>
  <si>
    <t>NF-10185</t>
  </si>
  <si>
    <t>NF-10178</t>
  </si>
  <si>
    <t>NF-10109</t>
  </si>
  <si>
    <t>NF-10392</t>
  </si>
  <si>
    <t>NF-10384</t>
  </si>
  <si>
    <t>NF-10592</t>
  </si>
  <si>
    <t>NF-10537</t>
  </si>
  <si>
    <t>NF-10482</t>
  </si>
  <si>
    <t>NF-10134</t>
  </si>
  <si>
    <t>NF-10092</t>
  </si>
  <si>
    <t>NF-10375</t>
  </si>
  <si>
    <t>NF-10308</t>
  </si>
  <si>
    <t>NF-10516</t>
  </si>
  <si>
    <t>NF-10300</t>
  </si>
  <si>
    <t>NF-10344</t>
  </si>
  <si>
    <t>NF-10034</t>
  </si>
  <si>
    <t>NF-10463</t>
  </si>
  <si>
    <t>NF-10380</t>
  </si>
  <si>
    <t>NF-10075</t>
  </si>
  <si>
    <t>NF-10430</t>
  </si>
  <si>
    <t>NF-10208</t>
  </si>
  <si>
    <t>NF-10453</t>
  </si>
  <si>
    <t>NF-10044</t>
  </si>
  <si>
    <t>NF-10049</t>
  </si>
  <si>
    <t>NF-10362</t>
  </si>
  <si>
    <t>NF-10162</t>
  </si>
  <si>
    <t>NF-10277</t>
  </si>
  <si>
    <t>NF-10220</t>
  </si>
  <si>
    <t>NF-10486</t>
  </si>
  <si>
    <t>NF-10020</t>
  </si>
  <si>
    <t>NF-10240</t>
  </si>
  <si>
    <t>NF-10101</t>
  </si>
  <si>
    <t>NF-10061</t>
  </si>
  <si>
    <t>NF-10472</t>
  </si>
  <si>
    <t>NF-10405</t>
  </si>
  <si>
    <t>NF-10313</t>
  </si>
  <si>
    <t>NF-10334</t>
  </si>
  <si>
    <t>NF-10080</t>
  </si>
  <si>
    <t>NF-10083</t>
  </si>
  <si>
    <t>NF-10234</t>
  </si>
  <si>
    <t>NF-10468</t>
  </si>
  <si>
    <t>NF-10484</t>
  </si>
  <si>
    <t>NF-10046</t>
  </si>
  <si>
    <t>NF-10436</t>
  </si>
  <si>
    <t>NF-10461</t>
  </si>
  <si>
    <t>NF-10460</t>
  </si>
  <si>
    <t>NF-10031</t>
  </si>
  <si>
    <t>NF-10406</t>
  </si>
  <si>
    <t>NF-10499</t>
  </si>
  <si>
    <t>NF-10509</t>
  </si>
  <si>
    <t>NF-10035</t>
  </si>
  <si>
    <t>NF-10212</t>
  </si>
  <si>
    <t>NF-10057</t>
  </si>
  <si>
    <t>2026-03</t>
  </si>
  <si>
    <t>NF-10473</t>
  </si>
  <si>
    <t>NF-10434</t>
  </si>
  <si>
    <t>NF-10296</t>
  </si>
  <si>
    <t>NF-10374</t>
  </si>
  <si>
    <t>NF-10503</t>
  </si>
  <si>
    <t>NF-10218</t>
  </si>
  <si>
    <t>NF-10206</t>
  </si>
  <si>
    <t>NF-10136</t>
  </si>
  <si>
    <t>NF-10179</t>
  </si>
  <si>
    <t>NF-10117</t>
  </si>
  <si>
    <t>NF-10456</t>
  </si>
  <si>
    <t>NF-10160</t>
  </si>
  <si>
    <t>NF-10496</t>
  </si>
  <si>
    <t>NF-10047</t>
  </si>
  <si>
    <t>NF-10440</t>
  </si>
  <si>
    <t>NF-10582</t>
  </si>
  <si>
    <t>NF-10110</t>
  </si>
  <si>
    <t>NF-10176</t>
  </si>
  <si>
    <t>NF-10449</t>
  </si>
  <si>
    <t>NF-10581</t>
  </si>
  <si>
    <t>NF-10407</t>
  </si>
  <si>
    <t>NF-10401</t>
  </si>
  <si>
    <t>NF-10245</t>
  </si>
  <si>
    <t>NF-10340</t>
  </si>
  <si>
    <t>NF-10551</t>
  </si>
  <si>
    <t>NF-10253</t>
  </si>
  <si>
    <t>NF-10536</t>
  </si>
  <si>
    <t>NF-10524</t>
  </si>
  <si>
    <t>NF-10560</t>
  </si>
  <si>
    <t>NF-10466</t>
  </si>
  <si>
    <t>NF-10263</t>
  </si>
  <si>
    <t>NF-10112</t>
  </si>
  <si>
    <t>NF-10172</t>
  </si>
  <si>
    <t>NF-10005</t>
  </si>
  <si>
    <t>NF-10130</t>
  </si>
  <si>
    <t>NF-10052</t>
  </si>
  <si>
    <t>NF-10585</t>
  </si>
  <si>
    <t>NF-10318</t>
  </si>
  <si>
    <t>NF-10189</t>
  </si>
  <si>
    <t>NF-10011</t>
  </si>
  <si>
    <t>NF-10528</t>
  </si>
  <si>
    <t>NF-10564</t>
  </si>
  <si>
    <t>NF-10229</t>
  </si>
  <si>
    <t>NF-10073</t>
  </si>
  <si>
    <t>NF-10595</t>
  </si>
  <si>
    <t>NF-10119</t>
  </si>
  <si>
    <t>NF-10099</t>
  </si>
  <si>
    <t>NF-10282</t>
  </si>
  <si>
    <t>NF-10332</t>
  </si>
  <si>
    <t>NF-10324</t>
  </si>
  <si>
    <t>NF-10186</t>
  </si>
  <si>
    <t>NF-10063</t>
  </si>
  <si>
    <t>NF-10568</t>
  </si>
  <si>
    <t>NF-10544</t>
  </si>
  <si>
    <t>NF-10452</t>
  </si>
  <si>
    <t>NF-10532</t>
  </si>
  <si>
    <t>NF-10462</t>
  </si>
  <si>
    <t>NF-10174</t>
  </si>
  <si>
    <t>NF-10414</t>
  </si>
  <si>
    <t>NF-10235</t>
  </si>
  <si>
    <t>NF-10013</t>
  </si>
  <si>
    <t>NF-10114</t>
  </si>
  <si>
    <t>NF-10022</t>
  </si>
  <si>
    <t>NF-10033</t>
  </si>
  <si>
    <t>NF-10056</t>
  </si>
  <si>
    <t>NF-10517</t>
  </si>
  <si>
    <t>NF-10111</t>
  </si>
  <si>
    <t>NF-10501</t>
  </si>
  <si>
    <t>NF-10271</t>
  </si>
  <si>
    <t>NF-10596</t>
  </si>
  <si>
    <t>NF-10155</t>
  </si>
  <si>
    <t>NF-10060</t>
  </si>
  <si>
    <t>NF-10294</t>
  </si>
  <si>
    <t>NF-10191</t>
  </si>
  <si>
    <t>2026-04</t>
  </si>
  <si>
    <t>NF-10447</t>
  </si>
  <si>
    <t>NF-10064</t>
  </si>
  <si>
    <t>NF-10498</t>
  </si>
  <si>
    <t>NF-10328</t>
  </si>
  <si>
    <t>NF-10391</t>
  </si>
  <si>
    <t>NF-10265</t>
  </si>
  <si>
    <t>NF-10002</t>
  </si>
  <si>
    <t>NF-10598</t>
  </si>
  <si>
    <t>NF-10526</t>
  </si>
  <si>
    <t>NF-10538</t>
  </si>
  <si>
    <t>NF-10481</t>
  </si>
  <si>
    <t>NF-10591</t>
  </si>
  <si>
    <t>NF-10091</t>
  </si>
  <si>
    <t>NF-10394</t>
  </si>
  <si>
    <t>NF-10275</t>
  </si>
  <si>
    <t>NF-10215</t>
  </si>
  <si>
    <t>NF-10558</t>
  </si>
  <si>
    <t>NF-10513</t>
  </si>
  <si>
    <t>NF-10163</t>
  </si>
  <si>
    <t>NF-10161</t>
  </si>
  <si>
    <t>NF-10369</t>
  </si>
  <si>
    <t>NF-10259</t>
  </si>
  <si>
    <t>NF-10448</t>
  </si>
  <si>
    <t>NF-10255</t>
  </si>
  <si>
    <t>NF-10306</t>
  </si>
  <si>
    <t>NF-10326</t>
  </si>
  <si>
    <t>NF-10429</t>
  </si>
  <si>
    <t>NF-10483</t>
  </si>
  <si>
    <t>NF-10291</t>
  </si>
  <si>
    <t>NF-10138</t>
  </si>
  <si>
    <t>NF-10395</t>
  </si>
  <si>
    <t>NF-10387</t>
  </si>
  <si>
    <t>NF-10546</t>
  </si>
  <si>
    <t>NF-10552</t>
  </si>
  <si>
    <t>NF-10015</t>
  </si>
  <si>
    <t>NF-10226</t>
  </si>
  <si>
    <t>NF-10143</t>
  </si>
  <si>
    <t>NF-10579</t>
  </si>
  <si>
    <t>NF-10548</t>
  </si>
  <si>
    <t>NF-10470</t>
  </si>
  <si>
    <t>NF-10008</t>
  </si>
  <si>
    <t>NF-10000</t>
  </si>
  <si>
    <t>NF-10201</t>
  </si>
  <si>
    <t>NF-10150</t>
  </si>
  <si>
    <t>NF-10476</t>
  </si>
  <si>
    <t>NF-10323</t>
  </si>
  <si>
    <t>NF-10016</t>
  </si>
  <si>
    <t>NF-10283</t>
  </si>
  <si>
    <t>NF-10421</t>
  </si>
  <si>
    <t>NF-10076</t>
  </si>
  <si>
    <t>NF-10408</t>
  </si>
  <si>
    <t>NF-10140</t>
  </si>
  <si>
    <t>NF-10081</t>
  </si>
  <si>
    <t>NF-10491</t>
  </si>
  <si>
    <t>NF-10004</t>
  </si>
  <si>
    <t>NF-10045</t>
  </si>
  <si>
    <t>NF-10474</t>
  </si>
  <si>
    <t>NF-10184</t>
  </si>
  <si>
    <t>NF-10361</t>
  </si>
  <si>
    <t>NF-10479</t>
  </si>
  <si>
    <t>NF-10331</t>
  </si>
  <si>
    <t>NF-10065</t>
  </si>
  <si>
    <t>NF-10100</t>
  </si>
  <si>
    <t>NF-10371</t>
  </si>
  <si>
    <t>NF-10295</t>
  </si>
  <si>
    <t>NF-10325</t>
  </si>
  <si>
    <t>NF-10225</t>
  </si>
  <si>
    <t>NF-10227</t>
  </si>
  <si>
    <t>NF-10231</t>
  </si>
  <si>
    <t>NF-10297</t>
  </si>
  <si>
    <t>NF-10217</t>
  </si>
  <si>
    <t>NF-10319</t>
  </si>
  <si>
    <t>NF-10489</t>
  </si>
  <si>
    <t>NF-10411</t>
  </si>
  <si>
    <t>NF-10356</t>
  </si>
  <si>
    <t>NF-10445</t>
  </si>
  <si>
    <t>NF-10254</t>
  </si>
  <si>
    <t>NF-10317</t>
  </si>
  <si>
    <t>NF-10480</t>
  </si>
  <si>
    <t>NF-10198</t>
  </si>
  <si>
    <t>NF-10397</t>
  </si>
  <si>
    <t>NF-10014</t>
  </si>
  <si>
    <t>NF-10385</t>
  </si>
  <si>
    <t>NF-10518</t>
  </si>
  <si>
    <t>NF-10502</t>
  </si>
  <si>
    <t>NF-10515</t>
  </si>
  <si>
    <t>NF-10213</t>
  </si>
  <si>
    <t>NF-10357</t>
  </si>
  <si>
    <t>NF-10314</t>
  </si>
  <si>
    <t>NF-10495</t>
  </si>
  <si>
    <t>NF-10194</t>
  </si>
  <si>
    <t>2026-05</t>
  </si>
  <si>
    <t>NF-10197</t>
  </si>
  <si>
    <t>NF-10009</t>
  </si>
  <si>
    <t>NF-10510</t>
  </si>
  <si>
    <t>NF-10249</t>
  </si>
  <si>
    <t>NF-10124</t>
  </si>
  <si>
    <t>NF-10105</t>
  </si>
  <si>
    <t>NF-10490</t>
  </si>
  <si>
    <t>NF-10261</t>
  </si>
  <si>
    <t>NF-10573</t>
  </si>
  <si>
    <t>NF-10157</t>
  </si>
  <si>
    <t>NF-10388</t>
  </si>
  <si>
    <t>NF-10458</t>
  </si>
  <si>
    <t>NF-10238</t>
  </si>
  <si>
    <t>NF-10514</t>
  </si>
  <si>
    <t>NF-10417</t>
  </si>
  <si>
    <t>NF-10505</t>
  </si>
  <si>
    <t>NF-10330</t>
  </si>
  <si>
    <t>NF-10346</t>
  </si>
  <si>
    <t>NF-10351</t>
  </si>
  <si>
    <t>NF-10402</t>
  </si>
  <si>
    <t>NF-10566</t>
  </si>
  <si>
    <t>NF-10280</t>
  </si>
  <si>
    <t>NF-10190</t>
  </si>
  <si>
    <t>NF-10519</t>
  </si>
  <si>
    <t>NF-10508</t>
  </si>
  <si>
    <t>NF-10299</t>
  </si>
  <si>
    <t>NF-10115</t>
  </si>
  <si>
    <t>NF-10193</t>
  </si>
  <si>
    <t>NF-10284</t>
  </si>
  <si>
    <t>NF-10236</t>
  </si>
  <si>
    <t>NF-10593</t>
  </si>
  <si>
    <t>NF-10223</t>
  </si>
  <si>
    <t>NF-10239</t>
  </si>
  <si>
    <t>NF-10419</t>
  </si>
  <si>
    <t>NF-10062</t>
  </si>
  <si>
    <t>NF-10025</t>
  </si>
  <si>
    <t>NF-10233</t>
  </si>
  <si>
    <t>NF-10310</t>
  </si>
  <si>
    <t>NF-10146</t>
  </si>
  <si>
    <t>NF-10224</t>
  </si>
  <si>
    <t>NF-10048</t>
  </si>
  <si>
    <t>NF-10018</t>
  </si>
  <si>
    <t>NF-10164</t>
  </si>
  <si>
    <t>NF-10077</t>
  </si>
  <si>
    <t>NF-10055</t>
  </si>
  <si>
    <t>NF-10181</t>
  </si>
  <si>
    <t>NF-10079</t>
  </si>
  <si>
    <t>NF-10128</t>
  </si>
  <si>
    <t>NF-10348</t>
  </si>
  <si>
    <t>NF-10050</t>
  </si>
  <si>
    <t>NF-10435</t>
  </si>
  <si>
    <t>NF-10120</t>
  </si>
  <si>
    <t>NF-10116</t>
  </si>
  <si>
    <t>NF-10347</t>
  </si>
  <si>
    <t>NF-10152</t>
  </si>
  <si>
    <t>NF-10423</t>
  </si>
  <si>
    <t>NF-10205</t>
  </si>
  <si>
    <t>NF-10506</t>
  </si>
  <si>
    <t>NF-10555</t>
  </si>
  <si>
    <t>NF-10118</t>
  </si>
  <si>
    <t>NF-10257</t>
  </si>
  <si>
    <t>NF-10570</t>
  </si>
  <si>
    <t>NF-10301</t>
  </si>
  <si>
    <t>NF-10507</t>
  </si>
  <si>
    <t>NF-10589</t>
  </si>
  <si>
    <t>NF-10342</t>
  </si>
  <si>
    <t>NF-10149</t>
  </si>
  <si>
    <t>NF-10443</t>
  </si>
  <si>
    <t>NF-10446</t>
  </si>
  <si>
    <t>NF-10166</t>
  </si>
  <si>
    <t>NF-10293</t>
  </si>
  <si>
    <t>NF-10442</t>
  </si>
  <si>
    <t>NF-10530</t>
  </si>
  <si>
    <t>NF-10487</t>
  </si>
  <si>
    <t>NF-10258</t>
  </si>
  <si>
    <t>NF-10542</t>
  </si>
  <si>
    <t>NF-10250</t>
  </si>
  <si>
    <t>NF-10350</t>
  </si>
  <si>
    <t>NF-10494</t>
  </si>
  <si>
    <t>NF-10329</t>
  </si>
  <si>
    <t>NF-10085</t>
  </si>
  <si>
    <t>NF-10270</t>
  </si>
  <si>
    <t>NF-10273</t>
  </si>
  <si>
    <t>NF-10493</t>
  </si>
  <si>
    <t>NF-10556</t>
  </si>
  <si>
    <t>NF-10237</t>
  </si>
  <si>
    <t>NF-10307</t>
  </si>
  <si>
    <t>NF-10376</t>
  </si>
  <si>
    <t>NF-10311</t>
  </si>
  <si>
    <t>NF-10345</t>
  </si>
  <si>
    <t>NF-10267</t>
  </si>
  <si>
    <t>NF-10274</t>
  </si>
  <si>
    <t>NF-10019</t>
  </si>
  <si>
    <t>NF-10459</t>
  </si>
  <si>
    <t>NF-10165</t>
  </si>
  <si>
    <t>NF-10288</t>
  </si>
  <si>
    <t>NF-10135</t>
  </si>
  <si>
    <t>NF-10415</t>
  </si>
  <si>
    <t>NF-10432</t>
  </si>
  <si>
    <t>2026-06</t>
  </si>
  <si>
    <t>NF-10017</t>
  </si>
  <si>
    <t>NF-10316</t>
  </si>
  <si>
    <t>NF-10312</t>
  </si>
  <si>
    <t>NF-10210</t>
  </si>
  <si>
    <t>NF-10569</t>
  </si>
  <si>
    <t>NF-10431</t>
  </si>
  <si>
    <t>NF-10454</t>
  </si>
  <si>
    <t>NF-10327</t>
  </si>
  <si>
    <t>NF-10529</t>
  </si>
  <si>
    <t>NF-10103</t>
  </si>
  <si>
    <t>NF-10599</t>
  </si>
  <si>
    <t>NF-10418</t>
  </si>
  <si>
    <t>NF-10204</t>
  </si>
  <si>
    <t>NF-10107</t>
  </si>
  <si>
    <t>NF-10492</t>
  </si>
  <si>
    <t>NF-10023</t>
  </si>
  <si>
    <t>NF-10359</t>
  </si>
  <si>
    <t>NF-10383</t>
  </si>
  <si>
    <t>NF-10289</t>
  </si>
  <si>
    <t>NF-10399</t>
  </si>
  <si>
    <t>NF-10214</t>
  </si>
  <si>
    <t>NF-10244</t>
  </si>
  <si>
    <t>NF-10171</t>
  </si>
  <si>
    <t>NF-10304</t>
  </si>
  <si>
    <t>NF-10567</t>
  </si>
  <si>
    <t>NF-10242</t>
  </si>
  <si>
    <t>NF-10422</t>
  </si>
  <si>
    <t>NF-10400</t>
  </si>
  <si>
    <t>NF-10339</t>
  </si>
  <si>
    <t>NF-10575</t>
  </si>
  <si>
    <t>NF-10583</t>
  </si>
  <si>
    <t>NF-10029</t>
  </si>
  <si>
    <t>NF-10278</t>
  </si>
  <si>
    <t>NF-10315</t>
  </si>
  <si>
    <t>NF-10087</t>
  </si>
  <si>
    <t>NF-10132</t>
  </si>
  <si>
    <t>NF-10572</t>
  </si>
  <si>
    <t>NF-10335</t>
  </si>
  <si>
    <t>NF-10122</t>
  </si>
  <si>
    <t>NF-10121</t>
  </si>
  <si>
    <t>NF-10074</t>
  </si>
  <si>
    <t>NF-10321</t>
  </si>
  <si>
    <t>NF-10269</t>
  </si>
  <si>
    <t>NF-10207</t>
  </si>
  <si>
    <t>NF-10322</t>
  </si>
  <si>
    <t>NF-10053</t>
  </si>
  <si>
    <t>NF-10584</t>
  </si>
  <si>
    <t>NF-10485</t>
  </si>
  <si>
    <t>NF-10279</t>
  </si>
  <si>
    <t>NF-10338</t>
  </si>
  <si>
    <t>NF-10465</t>
  </si>
  <si>
    <t>NF-10427</t>
  </si>
  <si>
    <t>NF-10177</t>
  </si>
  <si>
    <t>NF-10036</t>
  </si>
  <si>
    <t>NF-10578</t>
  </si>
  <si>
    <t>NF-10167</t>
  </si>
  <si>
    <t>NF-10241</t>
  </si>
  <si>
    <t>NF-10068</t>
  </si>
  <si>
    <t>NF-10382</t>
  </si>
  <si>
    <t>NF-10209</t>
  </si>
  <si>
    <t>NF-10139</t>
  </si>
  <si>
    <t>NF-10438</t>
  </si>
  <si>
    <t>NF-10409</t>
  </si>
  <si>
    <t>NF-10144</t>
  </si>
  <si>
    <t>NF-10042</t>
  </si>
  <si>
    <t>NF-10413</t>
  </si>
  <si>
    <t>NF-10070</t>
  </si>
  <si>
    <t>NF-10425</t>
  </si>
  <si>
    <t>NF-10543</t>
  </si>
  <si>
    <t>NF-10353</t>
  </si>
  <si>
    <t>NF-10287</t>
  </si>
  <si>
    <t>NF-10571</t>
  </si>
  <si>
    <t>NF-10577</t>
  </si>
  <si>
    <t>NF-10159</t>
  </si>
  <si>
    <t>NF-10531</t>
  </si>
  <si>
    <t>NF-10464</t>
  </si>
  <si>
    <t>NF-10216</t>
  </si>
  <si>
    <t>NF-10001</t>
  </si>
  <si>
    <t>NF-10554</t>
  </si>
  <si>
    <t>NF-10393</t>
  </si>
  <si>
    <t>NF-10363</t>
  </si>
  <si>
    <t>2026-07</t>
  </si>
  <si>
    <t>NF-10246</t>
  </si>
  <si>
    <t>NF-10500</t>
  </si>
  <si>
    <t>NF-10248</t>
  </si>
  <si>
    <t>NF-10228</t>
  </si>
  <si>
    <t>NF-10180</t>
  </si>
  <si>
    <t>NF-10533</t>
  </si>
  <si>
    <t>NF-10286</t>
  </si>
  <si>
    <t>NF-10557</t>
  </si>
  <si>
    <t>NF-10219</t>
  </si>
  <si>
    <t>NF-10455</t>
  </si>
  <si>
    <t>NF-10355</t>
  </si>
  <si>
    <t>NF-10262</t>
  </si>
  <si>
    <t>NF-10230</t>
  </si>
  <si>
    <t>NF-10173</t>
  </si>
  <si>
    <t>NF-10268</t>
  </si>
  <si>
    <t>NF-10066</t>
  </si>
  <si>
    <t>NF-10027</t>
  </si>
  <si>
    <t>NF-10469</t>
  </si>
  <si>
    <t>NF-10037</t>
  </si>
  <si>
    <t>NF-10396</t>
  </si>
  <si>
    <t>NF-10104</t>
  </si>
  <si>
    <t>NF-10521</t>
  </si>
  <si>
    <t>NF-10576</t>
  </si>
  <si>
    <t>NF-10006</t>
  </si>
  <si>
    <t>NF-10337</t>
  </si>
  <si>
    <t>NF-10040</t>
  </si>
  <si>
    <t>NF-10457</t>
  </si>
  <si>
    <t>NF-10043</t>
  </si>
  <si>
    <t>NF-10041</t>
  </si>
  <si>
    <t>NF-10196</t>
  </si>
  <si>
    <t>NF-10188</t>
  </si>
  <si>
    <t>NF-10192</t>
  </si>
  <si>
    <t>NF-10096</t>
  </si>
  <si>
    <t>NF-10539</t>
  </si>
  <si>
    <t>NF-10089</t>
  </si>
  <si>
    <t>NF-10451</t>
  </si>
  <si>
    <t>NF-10523</t>
  </si>
  <si>
    <t>NF-10084</t>
  </si>
  <si>
    <t>NF-10398</t>
  </si>
  <si>
    <t>NF-10379</t>
  </si>
  <si>
    <t>NF-10372</t>
  </si>
  <si>
    <t>NF-10026</t>
  </si>
  <si>
    <t>NF-10522</t>
  </si>
  <si>
    <t>NF-10142</t>
  </si>
  <si>
    <t>NF-10416</t>
  </si>
  <si>
    <t>NF-10333</t>
  </si>
  <si>
    <t>NF-10272</t>
  </si>
  <si>
    <t>NF-10527</t>
  </si>
  <si>
    <t>NF-10349</t>
  </si>
  <si>
    <t>NF-10477</t>
  </si>
  <si>
    <t>NF-10540</t>
  </si>
  <si>
    <t>NF-10302</t>
  </si>
  <si>
    <t>NF-10373</t>
  </si>
  <si>
    <t>NF-10256</t>
  </si>
  <si>
    <t>NF-10202</t>
  </si>
  <si>
    <t>NF-10243</t>
  </si>
  <si>
    <t>NF-10276</t>
  </si>
  <si>
    <t>NF-10067</t>
  </si>
  <si>
    <t>NF-10320</t>
  </si>
  <si>
    <t>NF-10094</t>
  </si>
  <si>
    <t>NF-10203</t>
  </si>
  <si>
    <t>NF-10129</t>
  </si>
  <si>
    <t>NF-10260</t>
  </si>
  <si>
    <t>NF-10088</t>
  </si>
  <si>
    <t>NF-10012</t>
  </si>
  <si>
    <t>NF-10247</t>
  </si>
  <si>
    <t>NF-10354</t>
  </si>
  <si>
    <t>NF-10444</t>
  </si>
  <si>
    <t>NF-10541</t>
  </si>
  <si>
    <t>NF-10030</t>
  </si>
  <si>
    <t>NF-10199</t>
  </si>
  <si>
    <t>NF-10158</t>
  </si>
  <si>
    <t>NF-10535</t>
  </si>
  <si>
    <t>NF-10095</t>
  </si>
  <si>
    <t>NF-10072</t>
  </si>
  <si>
    <t>NF-10145</t>
  </si>
  <si>
    <t>NF-10153</t>
  </si>
  <si>
    <t>NF-10211</t>
  </si>
  <si>
    <t>NF-10264</t>
  </si>
  <si>
    <t>NF-10098</t>
  </si>
  <si>
    <t>NF-10309</t>
  </si>
  <si>
    <t>NF-10336</t>
  </si>
  <si>
    <t>NF-10038</t>
  </si>
  <si>
    <t>NF-10010</t>
  </si>
  <si>
    <t>Indicador</t>
  </si>
  <si>
    <t>Valor</t>
  </si>
  <si>
    <t>Faturamento Total</t>
  </si>
  <si>
    <t>Valor Pago</t>
  </si>
  <si>
    <t>Valor em Aberto</t>
  </si>
  <si>
    <t>Quantidade de Operações</t>
  </si>
  <si>
    <t>Ticket Médio</t>
  </si>
  <si>
    <t>Operações em Atraso</t>
  </si>
  <si>
    <t>FATURAMENTO TOTAL</t>
  </si>
  <si>
    <t>VALOR PAGO</t>
  </si>
  <si>
    <t>QUANTIDADE DE OPERAÇÕES</t>
  </si>
  <si>
    <t>TICKET MÉDIO</t>
  </si>
  <si>
    <t>OPERAÇÕES EM ATRASO</t>
  </si>
  <si>
    <t>TAXA DE INADIMPLÊNCIA</t>
  </si>
  <si>
    <t>INDICADORES</t>
  </si>
  <si>
    <t>VALOR EM ABERTO</t>
  </si>
  <si>
    <t>TAXA DEINADIMPLÊNCIA</t>
  </si>
  <si>
    <t>DEPARTAMENTO</t>
  </si>
  <si>
    <t>ADMINISTRATIVO</t>
  </si>
  <si>
    <t>COMERCIAL</t>
  </si>
  <si>
    <t>FINANCEIRO</t>
  </si>
  <si>
    <t>OPERAÇÕES</t>
  </si>
  <si>
    <t>FATURAMENTO</t>
  </si>
  <si>
    <t>VALOR</t>
  </si>
  <si>
    <t>Rótulos de Linha</t>
  </si>
  <si>
    <t>Soma de Valor_Operacao</t>
  </si>
  <si>
    <t>Total Geral</t>
  </si>
  <si>
    <t>DASHBOARD ADMINISTRATIVO E FINANCEIRO</t>
  </si>
  <si>
    <t>Goiás Office Solutions | Janeiro a Julho de 2026</t>
  </si>
  <si>
    <t>TOTAL DE OPERAÇÕES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</si>
</sst>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165" fontId="0" fillId="0" borderId="1" xfId="0" applyNumberFormat="1" applyBorder="1"/>
    <xf numFmtId="10" fontId="0" fillId="0" borderId="1" xfId="0" applyNumberFormat="1" applyBorder="1"/>
    <xf numFmtId="0" fontId="0" fillId="0" borderId="3" xfId="0" applyBorder="1"/>
    <xf numFmtId="165" fontId="0" fillId="0" borderId="3" xfId="0" applyNumberFormat="1" applyBorder="1"/>
    <xf numFmtId="0" fontId="2" fillId="0" borderId="2" xfId="0" applyFont="1" applyBorder="1" applyAlignment="1">
      <alignment horizontal="center"/>
    </xf>
    <xf numFmtId="0" fontId="0" fillId="0" borderId="4" xfId="0" applyBorder="1"/>
    <xf numFmtId="165" fontId="0" fillId="0" borderId="4" xfId="0" applyNumberFormat="1" applyBorder="1"/>
    <xf numFmtId="0" fontId="0" fillId="0" borderId="5" xfId="0" applyBorder="1"/>
    <xf numFmtId="165" fontId="0" fillId="0" borderId="5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2" fillId="3" borderId="6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/>
    <xf numFmtId="10" fontId="0" fillId="3" borderId="7" xfId="0" applyNumberFormat="1" applyFill="1" applyBorder="1" applyAlignment="1">
      <alignment horizontal="center"/>
    </xf>
    <xf numFmtId="165" fontId="5" fillId="3" borderId="7" xfId="0" applyNumberFormat="1" applyFont="1" applyFill="1" applyBorder="1" applyAlignment="1">
      <alignment horizontal="center" vertical="center"/>
    </xf>
    <xf numFmtId="165" fontId="0" fillId="3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[Projeto_Dashboard_Administrativo.xlsx]Tabelas_Dinamicas!Tabela dinâmica6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Evolução do Faturamento Mensal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Tabelas_Dinamicas!$B$26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Tabelas_Dinamicas!$A$27:$A$34</c:f>
              <c:strCache>
                <c:ptCount val="7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</c:strCache>
            </c:strRef>
          </c:cat>
          <c:val>
            <c:numRef>
              <c:f>Tabelas_Dinamicas!$B$27:$B$34</c:f>
              <c:numCache>
                <c:formatCode>\R\$\ #,##0.00</c:formatCode>
                <c:ptCount val="7"/>
                <c:pt idx="0">
                  <c:v>139657.43</c:v>
                </c:pt>
                <c:pt idx="1">
                  <c:v>151927.27000000005</c:v>
                </c:pt>
                <c:pt idx="2">
                  <c:v>131170.30999999997</c:v>
                </c:pt>
                <c:pt idx="3">
                  <c:v>152332.02000000008</c:v>
                </c:pt>
                <c:pt idx="4">
                  <c:v>158473.30000000005</c:v>
                </c:pt>
                <c:pt idx="5">
                  <c:v>158567.13999999998</c:v>
                </c:pt>
                <c:pt idx="6">
                  <c:v>144850.58000000002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D-4758-9404-DD111D677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217199"/>
        <c:axId val="1914115280"/>
      </c:lineChart>
      <c:catAx>
        <c:axId val="212021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4115280"/>
        <c:crosses val="autoZero"/>
        <c:auto val="1"/>
        <c:lblAlgn val="ctr"/>
        <c:lblOffset val="100"/>
        <c:noMultiLvlLbl val="0"/>
      </c:catAx>
      <c:valAx>
        <c:axId val="191411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021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[Projeto_Dashboard_Administrativo.xlsx]Tabelas_Dinamicas!Tabela dinâmica5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Top Clientes por Faturamento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Tabelas_Dinamicas!$B$10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Tabelas_Dinamicas!$A$11:$A$23</c:f>
              <c:strCache>
                <c:ptCount val="12"/>
                <c:pt idx="0">
                  <c:v>Alfa Comércio Ltda.</c:v>
                </c:pt>
                <c:pt idx="1">
                  <c:v>Aparecida Comercial</c:v>
                </c:pt>
                <c:pt idx="2">
                  <c:v>Beta Distribuidora</c:v>
                </c:pt>
                <c:pt idx="3">
                  <c:v>Capital Empresarial</c:v>
                </c:pt>
                <c:pt idx="4">
                  <c:v>Central Materiais</c:v>
                </c:pt>
                <c:pt idx="5">
                  <c:v>Goiás Office</c:v>
                </c:pt>
                <c:pt idx="6">
                  <c:v>Jardim Suprimentos</c:v>
                </c:pt>
                <c:pt idx="7">
                  <c:v>Maxi Atacado</c:v>
                </c:pt>
                <c:pt idx="8">
                  <c:v>Nexus Consultoria</c:v>
                </c:pt>
                <c:pt idx="9">
                  <c:v>NovaTech Soluções</c:v>
                </c:pt>
                <c:pt idx="10">
                  <c:v>Prime Serviços</c:v>
                </c:pt>
                <c:pt idx="11">
                  <c:v>Sul Center</c:v>
                </c:pt>
              </c:strCache>
            </c:strRef>
          </c:cat>
          <c:val>
            <c:numRef>
              <c:f>Tabelas_Dinamicas!$B$11:$B$23</c:f>
              <c:numCache>
                <c:formatCode>\R\$\ #,##0.00</c:formatCode>
                <c:ptCount val="12"/>
                <c:pt idx="0">
                  <c:v>93705.369999999981</c:v>
                </c:pt>
                <c:pt idx="1">
                  <c:v>82256.370000000024</c:v>
                </c:pt>
                <c:pt idx="2">
                  <c:v>77635.12999999999</c:v>
                </c:pt>
                <c:pt idx="3">
                  <c:v>86348.450000000012</c:v>
                </c:pt>
                <c:pt idx="4">
                  <c:v>76494.559999999969</c:v>
                </c:pt>
                <c:pt idx="5">
                  <c:v>105362.23000000004</c:v>
                </c:pt>
                <c:pt idx="6">
                  <c:v>66265.669999999969</c:v>
                </c:pt>
                <c:pt idx="7">
                  <c:v>87793.63</c:v>
                </c:pt>
                <c:pt idx="8">
                  <c:v>71486.729999999981</c:v>
                </c:pt>
                <c:pt idx="9">
                  <c:v>106603.86000000002</c:v>
                </c:pt>
                <c:pt idx="10">
                  <c:v>106498.84999999999</c:v>
                </c:pt>
                <c:pt idx="11">
                  <c:v>76527.200000000012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A-4392-8ADF-F3C5F925D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85872"/>
        <c:axId val="1586124656"/>
      </c:barChart>
      <c:catAx>
        <c:axId val="16185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6124656"/>
        <c:crosses val="autoZero"/>
        <c:auto val="1"/>
        <c:lblAlgn val="ctr"/>
        <c:lblOffset val="100"/>
        <c:noMultiLvlLbl val="0"/>
      </c:catAx>
      <c:valAx>
        <c:axId val="158612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8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[Projeto_Dashboard_Administrativo.xlsx]Tabelas_Dinamicas!Tabela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Distribuição por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Tabelas_Dinamicas!$B$3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39-4120-BA3B-DB9B6CDED4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39-4120-BA3B-DB9B6CDED4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39-4120-BA3B-DB9B6CDED4F9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39-4120-BA3B-DB9B6CDED4F9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39-4120-BA3B-DB9B6CDED4F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039-4120-BA3B-DB9B6CDED4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Tabelas_Dinamicas!$A$4:$A$7</c:f>
              <c:strCache>
                <c:ptCount val="3"/>
                <c:pt idx="0">
                  <c:v>Em aberto</c:v>
                </c:pt>
                <c:pt idx="1">
                  <c:v>Em atraso</c:v>
                </c:pt>
                <c:pt idx="2">
                  <c:v>Pago</c:v>
                </c:pt>
              </c:strCache>
            </c:strRef>
          </c:cat>
          <c:val>
            <c:numRef>
              <c:f>Tabelas_Dinamicas!$B$4:$B$7</c:f>
              <c:numCache>
                <c:formatCode>\R\$\ #,##0.00</c:formatCode>
                <c:ptCount val="3"/>
                <c:pt idx="0">
                  <c:v>193938.98999999996</c:v>
                </c:pt>
                <c:pt idx="1">
                  <c:v>107564.33999999998</c:v>
                </c:pt>
                <c:pt idx="2">
                  <c:v>735474.71999999962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A8-4BF2-ADDD-AC6A69987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[Projeto_Dashboard_Administrativo.xlsx]Tabelas_Dinamicas!Tabela dinâmica6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Evolução do Faturamento Mensal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Tabelas_Dinamicas!$B$26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Tabelas_Dinamicas!$A$27:$A$34</c:f>
              <c:strCache>
                <c:ptCount val="7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</c:strCache>
            </c:strRef>
          </c:cat>
          <c:val>
            <c:numRef>
              <c:f>Tabelas_Dinamicas!$B$27:$B$34</c:f>
              <c:numCache>
                <c:formatCode>\R\$\ #,##0.00</c:formatCode>
                <c:ptCount val="7"/>
                <c:pt idx="0">
                  <c:v>139657.43</c:v>
                </c:pt>
                <c:pt idx="1">
                  <c:v>151927.27000000005</c:v>
                </c:pt>
                <c:pt idx="2">
                  <c:v>131170.30999999997</c:v>
                </c:pt>
                <c:pt idx="3">
                  <c:v>152332.02000000008</c:v>
                </c:pt>
                <c:pt idx="4">
                  <c:v>158473.30000000005</c:v>
                </c:pt>
                <c:pt idx="5">
                  <c:v>158567.13999999998</c:v>
                </c:pt>
                <c:pt idx="6">
                  <c:v>144850.58000000002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5A-4CCB-8DDD-BF11E9F13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217199"/>
        <c:axId val="1914115280"/>
      </c:lineChart>
      <c:catAx>
        <c:axId val="212021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4115280"/>
        <c:crosses val="autoZero"/>
        <c:auto val="1"/>
        <c:lblAlgn val="ctr"/>
        <c:lblOffset val="100"/>
        <c:noMultiLvlLbl val="0"/>
      </c:catAx>
      <c:valAx>
        <c:axId val="191411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021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[Projeto_Dashboard_Administrativo.xlsx]Tabelas_Dinamicas!Tabela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Distribuição por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Tabelas_Dinamicas!$B$3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54-48C9-84AF-B264A0322E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54-48C9-84AF-B264A0322E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54-48C9-84AF-B264A0322E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Tabelas_Dinamicas!$A$4:$A$7</c:f>
              <c:strCache>
                <c:ptCount val="3"/>
                <c:pt idx="0">
                  <c:v>Em aberto</c:v>
                </c:pt>
                <c:pt idx="1">
                  <c:v>Em atraso</c:v>
                </c:pt>
                <c:pt idx="2">
                  <c:v>Pago</c:v>
                </c:pt>
              </c:strCache>
            </c:strRef>
          </c:cat>
          <c:val>
            <c:numRef>
              <c:f>Tabelas_Dinamicas!$B$4:$B$7</c:f>
              <c:numCache>
                <c:formatCode>\R\$\ #,##0.00</c:formatCode>
                <c:ptCount val="3"/>
                <c:pt idx="0">
                  <c:v>193938.98999999996</c:v>
                </c:pt>
                <c:pt idx="1">
                  <c:v>107564.33999999998</c:v>
                </c:pt>
                <c:pt idx="2">
                  <c:v>735474.71999999962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54-48C9-84AF-B264A0322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020459924977821"/>
          <c:y val="0.11955274825539269"/>
          <c:w val="0.85979540075022176"/>
          <c:h val="0.827445202088572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Analise!$E$1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9191210846189802E-2"/>
                  <c:y val="-4.30641653455281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9A-4EAA-91D6-8AAFD01C3A76}"/>
                </c:ext>
              </c:extLst>
            </c:dLbl>
            <c:dLbl>
              <c:idx val="1"/>
              <c:layout>
                <c:manualLayout>
                  <c:x val="-0.11781206171107994"/>
                  <c:y val="-4.96894215525322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9A-4EAA-91D6-8AAFD01C3A76}"/>
                </c:ext>
              </c:extLst>
            </c:dLbl>
            <c:dLbl>
              <c:idx val="2"/>
              <c:layout>
                <c:manualLayout>
                  <c:x val="-0.11594202898550725"/>
                  <c:y val="-4.96894215525323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9A-4EAA-91D6-8AAFD01C3A76}"/>
                </c:ext>
              </c:extLst>
            </c:dLbl>
            <c:dLbl>
              <c:idx val="3"/>
              <c:layout>
                <c:manualLayout>
                  <c:x val="-0.11594202898550725"/>
                  <c:y val="-4.96894215525323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9A-4EAA-91D6-8AAFD01C3A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Analise!$D$2:$D$5</c:f>
              <c:strCache>
                <c:ptCount val="4"/>
                <c:pt idx="0">
                  <c:v>COMERCIAL</c:v>
                </c:pt>
                <c:pt idx="1">
                  <c:v>FINANCEIRO</c:v>
                </c:pt>
                <c:pt idx="2">
                  <c:v>OPERAÇÕES</c:v>
                </c:pt>
                <c:pt idx="3">
                  <c:v>ADMINISTRATIVO</c:v>
                </c:pt>
              </c:strCache>
            </c:strRef>
          </c:cat>
          <c:val>
            <c:numRef>
              <c:f>Analise!$E$2:$E$5</c:f>
              <c:numCache>
                <c:formatCode>"R$"\ #,##0.00</c:formatCode>
                <c:ptCount val="4"/>
                <c:pt idx="0">
                  <c:v>330258.85999999981</c:v>
                </c:pt>
                <c:pt idx="1">
                  <c:v>284257.7099999999</c:v>
                </c:pt>
                <c:pt idx="2">
                  <c:v>211341.70999999993</c:v>
                </c:pt>
                <c:pt idx="3">
                  <c:v>211119.77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9A-4EAA-91D6-8AAFD01C3A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8"/>
        <c:axId val="30190656"/>
        <c:axId val="1586089616"/>
      </c:barChart>
      <c:catAx>
        <c:axId val="3019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6089616"/>
        <c:crosses val="autoZero"/>
        <c:auto val="1"/>
        <c:lblAlgn val="ctr"/>
        <c:lblOffset val="100"/>
        <c:noMultiLvlLbl val="0"/>
      </c:catAx>
      <c:valAx>
        <c:axId val="158608961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3019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[Projeto_Dashboard_Administrativo.xlsx]Tabelas_Dinamicas!Tabela dinâmica5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Top Clientes por Faturamento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Tabelas_Dinamicas!$B$10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Tabelas_Dinamicas!$A$11:$A$23</c:f>
              <c:strCache>
                <c:ptCount val="12"/>
                <c:pt idx="0">
                  <c:v>Alfa Comércio Ltda.</c:v>
                </c:pt>
                <c:pt idx="1">
                  <c:v>Aparecida Comercial</c:v>
                </c:pt>
                <c:pt idx="2">
                  <c:v>Beta Distribuidora</c:v>
                </c:pt>
                <c:pt idx="3">
                  <c:v>Capital Empresarial</c:v>
                </c:pt>
                <c:pt idx="4">
                  <c:v>Central Materiais</c:v>
                </c:pt>
                <c:pt idx="5">
                  <c:v>Goiás Office</c:v>
                </c:pt>
                <c:pt idx="6">
                  <c:v>Jardim Suprimentos</c:v>
                </c:pt>
                <c:pt idx="7">
                  <c:v>Maxi Atacado</c:v>
                </c:pt>
                <c:pt idx="8">
                  <c:v>Nexus Consultoria</c:v>
                </c:pt>
                <c:pt idx="9">
                  <c:v>NovaTech Soluções</c:v>
                </c:pt>
                <c:pt idx="10">
                  <c:v>Prime Serviços</c:v>
                </c:pt>
                <c:pt idx="11">
                  <c:v>Sul Center</c:v>
                </c:pt>
              </c:strCache>
            </c:strRef>
          </c:cat>
          <c:val>
            <c:numRef>
              <c:f>Tabelas_Dinamicas!$B$11:$B$23</c:f>
              <c:numCache>
                <c:formatCode>\R\$\ #,##0.00</c:formatCode>
                <c:ptCount val="12"/>
                <c:pt idx="0">
                  <c:v>93705.369999999981</c:v>
                </c:pt>
                <c:pt idx="1">
                  <c:v>82256.370000000024</c:v>
                </c:pt>
                <c:pt idx="2">
                  <c:v>77635.12999999999</c:v>
                </c:pt>
                <c:pt idx="3">
                  <c:v>86348.450000000012</c:v>
                </c:pt>
                <c:pt idx="4">
                  <c:v>76494.559999999969</c:v>
                </c:pt>
                <c:pt idx="5">
                  <c:v>105362.23000000004</c:v>
                </c:pt>
                <c:pt idx="6">
                  <c:v>66265.669999999969</c:v>
                </c:pt>
                <c:pt idx="7">
                  <c:v>87793.63</c:v>
                </c:pt>
                <c:pt idx="8">
                  <c:v>71486.729999999981</c:v>
                </c:pt>
                <c:pt idx="9">
                  <c:v>106603.86000000002</c:v>
                </c:pt>
                <c:pt idx="10">
                  <c:v>106498.84999999999</c:v>
                </c:pt>
                <c:pt idx="11">
                  <c:v>76527.200000000012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D-4661-B5E1-F67EF04BD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85872"/>
        <c:axId val="1586124656"/>
      </c:barChart>
      <c:catAx>
        <c:axId val="16185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6124656"/>
        <c:crosses val="autoZero"/>
        <c:auto val="1"/>
        <c:lblAlgn val="ctr"/>
        <c:lblOffset val="100"/>
        <c:noMultiLvlLbl val="0"/>
      </c:catAx>
      <c:valAx>
        <c:axId val="158612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8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020459924977821"/>
          <c:y val="0.11955274825539269"/>
          <c:w val="0.85979540075022176"/>
          <c:h val="0.827445202088572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Analise!$E$1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9191210846189802E-2"/>
                  <c:y val="-4.30641653455281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CF-4178-9B40-28CFE71C0922}"/>
                </c:ext>
              </c:extLst>
            </c:dLbl>
            <c:dLbl>
              <c:idx val="1"/>
              <c:layout>
                <c:manualLayout>
                  <c:x val="-0.11781206171107994"/>
                  <c:y val="-4.96894215525322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CF-4178-9B40-28CFE71C0922}"/>
                </c:ext>
              </c:extLst>
            </c:dLbl>
            <c:dLbl>
              <c:idx val="2"/>
              <c:layout>
                <c:manualLayout>
                  <c:x val="-0.11594202898550725"/>
                  <c:y val="-4.96894215525323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CF-4178-9B40-28CFE71C0922}"/>
                </c:ext>
              </c:extLst>
            </c:dLbl>
            <c:dLbl>
              <c:idx val="3"/>
              <c:layout>
                <c:manualLayout>
                  <c:x val="-0.11594202898550725"/>
                  <c:y val="-4.96894215525323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CF-4178-9B40-28CFE71C09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Analise!$D$2:$D$5</c:f>
              <c:strCache>
                <c:ptCount val="4"/>
                <c:pt idx="0">
                  <c:v>COMERCIAL</c:v>
                </c:pt>
                <c:pt idx="1">
                  <c:v>FINANCEIRO</c:v>
                </c:pt>
                <c:pt idx="2">
                  <c:v>OPERAÇÕES</c:v>
                </c:pt>
                <c:pt idx="3">
                  <c:v>ADMINISTRATIVO</c:v>
                </c:pt>
              </c:strCache>
            </c:strRef>
          </c:cat>
          <c:val>
            <c:numRef>
              <c:f>Analise!$E$2:$E$5</c:f>
              <c:numCache>
                <c:formatCode>"R$"\ #,##0.00</c:formatCode>
                <c:ptCount val="4"/>
                <c:pt idx="0">
                  <c:v>330258.85999999981</c:v>
                </c:pt>
                <c:pt idx="1">
                  <c:v>284257.7099999999</c:v>
                </c:pt>
                <c:pt idx="2">
                  <c:v>211341.70999999993</c:v>
                </c:pt>
                <c:pt idx="3">
                  <c:v>211119.77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F-4178-9B40-28CFE71C09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8"/>
        <c:axId val="30190656"/>
        <c:axId val="1586089616"/>
      </c:barChart>
      <c:catAx>
        <c:axId val="3019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6089616"/>
        <c:crosses val="autoZero"/>
        <c:auto val="1"/>
        <c:lblAlgn val="ctr"/>
        <c:lblOffset val="100"/>
        <c:noMultiLvlLbl val="0"/>
      </c:catAx>
      <c:valAx>
        <c:axId val="158608961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3019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228599</xdr:colOff>
      <xdr:row>0</xdr:row>
      <xdr:rowOff>128586</xdr:rowOff>
    </xdr:from>
    <xdr:to>
      <xdr:col>17</xdr:col>
      <xdr:colOff>180974</xdr:colOff>
      <xdr:row>19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5C32DB-3E13-4C58-87E7-1501B8BFD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438150</xdr:colOff>
      <xdr:row>0</xdr:row>
      <xdr:rowOff>109536</xdr:rowOff>
    </xdr:from>
    <xdr:to>
      <xdr:col>8</xdr:col>
      <xdr:colOff>581025</xdr:colOff>
      <xdr:row>19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F499D65-892C-9091-89C3-9CFC92B6B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428625</xdr:colOff>
      <xdr:row>20</xdr:row>
      <xdr:rowOff>52386</xdr:rowOff>
    </xdr:from>
    <xdr:to>
      <xdr:col>9</xdr:col>
      <xdr:colOff>0</xdr:colOff>
      <xdr:row>37</xdr:row>
      <xdr:rowOff>57149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C0EE85-01DA-D29B-FB2D-B46E8AD9B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425824</xdr:colOff>
      <xdr:row>27</xdr:row>
      <xdr:rowOff>57149</xdr:rowOff>
    </xdr:from>
    <xdr:to>
      <xdr:col>13</xdr:col>
      <xdr:colOff>1557618</xdr:colOff>
      <xdr:row>43</xdr:row>
      <xdr:rowOff>112058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85B6EE-F569-4C4C-82FE-7A4D1786B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291354</xdr:colOff>
      <xdr:row>27</xdr:row>
      <xdr:rowOff>56030</xdr:rowOff>
    </xdr:from>
    <xdr:to>
      <xdr:col>7</xdr:col>
      <xdr:colOff>268941</xdr:colOff>
      <xdr:row>43</xdr:row>
      <xdr:rowOff>115980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56B7820-984A-421A-B040-3629F9D64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313765</xdr:colOff>
      <xdr:row>7</xdr:row>
      <xdr:rowOff>145677</xdr:rowOff>
    </xdr:from>
    <xdr:to>
      <xdr:col>7</xdr:col>
      <xdr:colOff>280147</xdr:colOff>
      <xdr:row>26</xdr:row>
      <xdr:rowOff>112059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BBBB362-34F1-4183-BF69-2895D6A11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425823</xdr:colOff>
      <xdr:row>7</xdr:row>
      <xdr:rowOff>156883</xdr:rowOff>
    </xdr:from>
    <xdr:to>
      <xdr:col>13</xdr:col>
      <xdr:colOff>1546412</xdr:colOff>
      <xdr:row>26</xdr:row>
      <xdr:rowOff>114022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9DB128E-1258-49EF-B87D-0DE90E4CC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5</xdr:row>
      <xdr:rowOff>157161</xdr:rowOff>
    </xdr:from>
    <xdr:to>
      <xdr:col>9</xdr:col>
      <xdr:colOff>238125</xdr:colOff>
      <xdr:row>25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1A0A8C-82D2-1EAA-3739-D978BC083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ws Souza Santos" refreshedDate="46259.749624884258" createdVersion="8" refreshedVersion="8" minRefreshableVersion="3" recordCount="600" xr:uid="{7CB8D20D-AD6A-43BC-B9FF-D100AF97790F}">
  <cacheSource type="worksheet">
    <worksheetSource name="tblBaseDados"/>
  </cacheSource>
  <cacheFields count="16">
    <cacheField name="Data" numFmtId="14">
      <sharedItems containsSemiMixedTypes="0" containsNonDate="0" containsDate="1" containsString="0" minDate="2026-01-01T00:00:00" maxDate="2026-07-31T00:00:00"/>
    </cacheField>
    <cacheField name="Nota_Fiscal" numFmtId="0">
      <sharedItems/>
    </cacheField>
    <cacheField name="Cliente" numFmtId="0">
      <sharedItems/>
    </cacheField>
    <cacheField name="Departamento" numFmtId="0">
      <sharedItems/>
    </cacheField>
    <cacheField name="Categoria" numFmtId="0">
      <sharedItems/>
    </cacheField>
    <cacheField name="Valor_Operacao" numFmtId="164">
      <sharedItems containsSemiMixedTypes="0" containsString="0" containsNumber="1" minValue="216.15" maxValue="11109.11"/>
    </cacheField>
    <cacheField name="Forma_Pagamento" numFmtId="0">
      <sharedItems/>
    </cacheField>
    <cacheField name="Responsavel" numFmtId="0">
      <sharedItems/>
    </cacheField>
    <cacheField name="Prazo_Dias" numFmtId="0">
      <sharedItems containsSemiMixedTypes="0" containsString="0" containsNumber="1" containsInteger="1" minValue="7" maxValue="45"/>
    </cacheField>
    <cacheField name="Data_Vencimento" numFmtId="14">
      <sharedItems containsSemiMixedTypes="0" containsNonDate="0" containsDate="1" containsString="0" minDate="2026-01-08T00:00:00" maxDate="2026-09-11T00:00:00"/>
    </cacheField>
    <cacheField name="Status" numFmtId="0">
      <sharedItems count="3">
        <s v="Em aberto"/>
        <s v="Pago"/>
        <s v="Em atraso"/>
      </sharedItems>
    </cacheField>
    <cacheField name="Data_Pagamento" numFmtId="14">
      <sharedItems containsNonDate="0" containsDate="1" containsString="0" containsBlank="1" minDate="2026-01-18T00:00:00" maxDate="2026-09-11T00:00:00"/>
    </cacheField>
    <cacheField name="Valor_Pago" numFmtId="164">
      <sharedItems containsSemiMixedTypes="0" containsString="0" containsNumber="1" minValue="0" maxValue="11109.11"/>
    </cacheField>
    <cacheField name="Valor_Em_Aberto" numFmtId="164">
      <sharedItems containsSemiMixedTypes="0" containsString="0" containsNumber="1" minValue="0" maxValue="9963.17"/>
    </cacheField>
    <cacheField name="Dias_Atraso" numFmtId="0">
      <sharedItems containsSemiMixedTypes="0" containsString="0" containsNumber="1" containsInteger="1" minValue="0" maxValue="222"/>
    </cacheField>
    <cacheField name="M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ws Souza Santos" refreshedDate="46259.753672685183" createdVersion="8" refreshedVersion="8" minRefreshableVersion="3" recordCount="600" xr:uid="{8E3501E5-D18A-4FA6-A46A-7EFA63359F1B}">
  <cacheSource type="worksheet">
    <worksheetSource name="tblBaseDados"/>
  </cacheSource>
  <cacheFields count="16">
    <cacheField name="Data" numFmtId="14">
      <sharedItems containsSemiMixedTypes="0" containsNonDate="0" containsDate="1" containsString="0" minDate="2026-01-01T00:00:00" maxDate="2026-07-31T00:00:00"/>
    </cacheField>
    <cacheField name="Nota_Fiscal" numFmtId="0">
      <sharedItems/>
    </cacheField>
    <cacheField name="Cliente" numFmtId="0">
      <sharedItems count="12">
        <s v="Beta Distribuidora"/>
        <s v="Maxi Atacado"/>
        <s v="Goiás Office"/>
        <s v="NovaTech Soluções"/>
        <s v="Jardim Suprimentos"/>
        <s v="Alfa Comércio Ltda."/>
        <s v="Sul Center"/>
        <s v="Nexus Consultoria"/>
        <s v="Capital Empresarial"/>
        <s v="Central Materiais"/>
        <s v="Prime Serviços"/>
        <s v="Aparecida Comercial"/>
      </sharedItems>
    </cacheField>
    <cacheField name="Departamento" numFmtId="0">
      <sharedItems/>
    </cacheField>
    <cacheField name="Categoria" numFmtId="0">
      <sharedItems/>
    </cacheField>
    <cacheField name="Valor_Operacao" numFmtId="164">
      <sharedItems containsSemiMixedTypes="0" containsString="0" containsNumber="1" minValue="216.15" maxValue="11109.11"/>
    </cacheField>
    <cacheField name="Forma_Pagamento" numFmtId="0">
      <sharedItems/>
    </cacheField>
    <cacheField name="Responsavel" numFmtId="0">
      <sharedItems/>
    </cacheField>
    <cacheField name="Prazo_Dias" numFmtId="0">
      <sharedItems containsSemiMixedTypes="0" containsString="0" containsNumber="1" containsInteger="1" minValue="7" maxValue="45"/>
    </cacheField>
    <cacheField name="Data_Vencimento" numFmtId="14">
      <sharedItems containsSemiMixedTypes="0" containsNonDate="0" containsDate="1" containsString="0" minDate="2026-01-08T00:00:00" maxDate="2026-09-11T00:00:00"/>
    </cacheField>
    <cacheField name="Status" numFmtId="0">
      <sharedItems/>
    </cacheField>
    <cacheField name="Data_Pagamento" numFmtId="14">
      <sharedItems containsNonDate="0" containsDate="1" containsString="0" containsBlank="1" minDate="2026-01-18T00:00:00" maxDate="2026-09-11T00:00:00"/>
    </cacheField>
    <cacheField name="Valor_Pago" numFmtId="164">
      <sharedItems containsSemiMixedTypes="0" containsString="0" containsNumber="1" minValue="0" maxValue="11109.11"/>
    </cacheField>
    <cacheField name="Valor_Em_Aberto" numFmtId="164">
      <sharedItems containsSemiMixedTypes="0" containsString="0" containsNumber="1" minValue="0" maxValue="9963.17"/>
    </cacheField>
    <cacheField name="Dias_Atraso" numFmtId="0">
      <sharedItems containsSemiMixedTypes="0" containsString="0" containsNumber="1" containsInteger="1" minValue="0" maxValue="222"/>
    </cacheField>
    <cacheField name="Mes" numFmtId="0">
      <sharedItems count="7">
        <s v="2026-01"/>
        <s v="2026-02"/>
        <s v="2026-03"/>
        <s v="2026-04"/>
        <s v="2026-05"/>
        <s v="2026-06"/>
        <s v="2026-0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d v="2026-01-01T00:00:00"/>
    <s v="NF-10559"/>
    <s v="Beta Distribuidora"/>
    <s v="Comercial"/>
    <s v="Equipamentos"/>
    <n v="2279.75"/>
    <s v="PIX"/>
    <s v="Diego"/>
    <n v="30"/>
    <d v="2026-01-31T00:00:00"/>
    <x v="0"/>
    <m/>
    <n v="0"/>
    <n v="2279.75"/>
    <n v="0"/>
    <s v="2026-01"/>
  </r>
  <r>
    <d v="2026-01-01T00:00:00"/>
    <s v="NF-10147"/>
    <s v="Maxi Atacado"/>
    <s v="Financeiro"/>
    <s v="Consultoria"/>
    <n v="1992.26"/>
    <s v="Boleto"/>
    <s v="Ana"/>
    <n v="45"/>
    <d v="2026-02-15T00:00:00"/>
    <x v="0"/>
    <m/>
    <n v="0"/>
    <n v="1992.26"/>
    <n v="0"/>
    <s v="2026-01"/>
  </r>
  <r>
    <d v="2026-01-01T00:00:00"/>
    <s v="NF-10511"/>
    <s v="Goiás Office"/>
    <s v="Comercial"/>
    <s v="Serviços"/>
    <n v="3134.88"/>
    <s v="Cartão"/>
    <s v="Diego"/>
    <n v="7"/>
    <d v="2026-01-08T00:00:00"/>
    <x v="1"/>
    <d v="2026-01-18T00:00:00"/>
    <n v="3134.88"/>
    <n v="0"/>
    <n v="0"/>
    <s v="2026-01"/>
  </r>
  <r>
    <d v="2026-01-02T00:00:00"/>
    <s v="NF-10565"/>
    <s v="Goiás Office"/>
    <s v="Administrativo"/>
    <s v="Software"/>
    <n v="432.76"/>
    <s v="Boleto"/>
    <s v="Ana"/>
    <n v="30"/>
    <d v="2026-02-01T00:00:00"/>
    <x v="1"/>
    <d v="2026-02-04T00:00:00"/>
    <n v="432.76"/>
    <n v="0"/>
    <n v="0"/>
    <s v="2026-01"/>
  </r>
  <r>
    <d v="2026-01-02T00:00:00"/>
    <s v="NF-10298"/>
    <s v="Goiás Office"/>
    <s v="Financeiro"/>
    <s v="Software"/>
    <n v="1061.97"/>
    <s v="PIX"/>
    <s v="Diego"/>
    <n v="45"/>
    <d v="2026-02-16T00:00:00"/>
    <x v="1"/>
    <d v="2026-02-25T00:00:00"/>
    <n v="1061.97"/>
    <n v="0"/>
    <n v="0"/>
    <s v="2026-01"/>
  </r>
  <r>
    <d v="2026-01-02T00:00:00"/>
    <s v="NF-10232"/>
    <s v="NovaTech Soluções"/>
    <s v="Financeiro"/>
    <s v="Material de Escritório"/>
    <n v="1613.06"/>
    <s v="Boleto"/>
    <s v="Lucas"/>
    <n v="30"/>
    <d v="2026-02-01T00:00:00"/>
    <x v="1"/>
    <d v="2026-02-02T00:00:00"/>
    <n v="1613.06"/>
    <n v="0"/>
    <n v="0"/>
    <s v="2026-01"/>
  </r>
  <r>
    <d v="2026-01-02T00:00:00"/>
    <s v="NF-10021"/>
    <s v="Goiás Office"/>
    <s v="Financeiro"/>
    <s v="Equipamentos"/>
    <n v="859.62"/>
    <s v="Boleto"/>
    <s v="Ana"/>
    <n v="15"/>
    <d v="2026-01-17T00:00:00"/>
    <x v="1"/>
    <d v="2026-01-21T00:00:00"/>
    <n v="859.62"/>
    <n v="0"/>
    <n v="0"/>
    <s v="2026-01"/>
  </r>
  <r>
    <d v="2026-01-02T00:00:00"/>
    <s v="NF-10078"/>
    <s v="Jardim Suprimentos"/>
    <s v="Administrativo"/>
    <s v="Equipamentos"/>
    <n v="1097.5899999999999"/>
    <s v="Cartão"/>
    <s v="Bruno"/>
    <n v="30"/>
    <d v="2026-02-01T00:00:00"/>
    <x v="1"/>
    <d v="2026-02-01T00:00:00"/>
    <n v="1097.5899999999999"/>
    <n v="0"/>
    <n v="0"/>
    <s v="2026-01"/>
  </r>
  <r>
    <d v="2026-01-03T00:00:00"/>
    <s v="NF-10266"/>
    <s v="Alfa Comércio Ltda."/>
    <s v="Operações"/>
    <s v="Equipamentos"/>
    <n v="1609.11"/>
    <s v="PIX"/>
    <s v="Camila"/>
    <n v="45"/>
    <d v="2026-02-17T00:00:00"/>
    <x v="0"/>
    <m/>
    <n v="0"/>
    <n v="1609.11"/>
    <n v="0"/>
    <s v="2026-01"/>
  </r>
  <r>
    <d v="2026-01-03T00:00:00"/>
    <s v="NF-10200"/>
    <s v="Sul Center"/>
    <s v="Comercial"/>
    <s v="Software"/>
    <n v="790.54"/>
    <s v="Boleto"/>
    <s v="Fernanda"/>
    <n v="30"/>
    <d v="2026-02-02T00:00:00"/>
    <x v="1"/>
    <d v="2026-02-07T00:00:00"/>
    <n v="790.54"/>
    <n v="0"/>
    <n v="0"/>
    <s v="2026-01"/>
  </r>
  <r>
    <d v="2026-01-04T00:00:00"/>
    <s v="NF-10377"/>
    <s v="Jardim Suprimentos"/>
    <s v="Comercial"/>
    <s v="Material de Escritório"/>
    <n v="748.06"/>
    <s v="Transferência"/>
    <s v="Ana"/>
    <n v="45"/>
    <d v="2026-02-18T00:00:00"/>
    <x v="2"/>
    <m/>
    <n v="0"/>
    <n v="748.06"/>
    <n v="187"/>
    <s v="2026-01"/>
  </r>
  <r>
    <d v="2026-01-04T00:00:00"/>
    <s v="NF-10561"/>
    <s v="Nexus Consultoria"/>
    <s v="Administrativo"/>
    <s v="Serviços"/>
    <n v="4317.4799999999996"/>
    <s v="Transferência"/>
    <s v="Ana"/>
    <n v="15"/>
    <d v="2026-01-19T00:00:00"/>
    <x v="1"/>
    <d v="2026-01-22T00:00:00"/>
    <n v="4317.4799999999996"/>
    <n v="0"/>
    <n v="0"/>
    <s v="2026-01"/>
  </r>
  <r>
    <d v="2026-01-04T00:00:00"/>
    <s v="NF-10082"/>
    <s v="Sul Center"/>
    <s v="Financeiro"/>
    <s v="Consultoria"/>
    <n v="1800.48"/>
    <s v="Boleto"/>
    <s v="Ana"/>
    <n v="45"/>
    <d v="2026-02-18T00:00:00"/>
    <x v="1"/>
    <d v="2026-02-26T00:00:00"/>
    <n v="1800.48"/>
    <n v="0"/>
    <n v="0"/>
    <s v="2026-01"/>
  </r>
  <r>
    <d v="2026-01-05T00:00:00"/>
    <s v="NF-10125"/>
    <s v="Maxi Atacado"/>
    <s v="Financeiro"/>
    <s v="Equipamentos"/>
    <n v="1570.94"/>
    <s v="PIX"/>
    <s v="Diego"/>
    <n v="30"/>
    <d v="2026-02-04T00:00:00"/>
    <x v="1"/>
    <d v="2026-02-14T00:00:00"/>
    <n v="1570.94"/>
    <n v="0"/>
    <n v="0"/>
    <s v="2026-01"/>
  </r>
  <r>
    <d v="2026-01-05T00:00:00"/>
    <s v="NF-10148"/>
    <s v="NovaTech Soluções"/>
    <s v="Operações"/>
    <s v="Material de Escritório"/>
    <n v="586.80999999999995"/>
    <s v="Cartão"/>
    <s v="Camila"/>
    <n v="30"/>
    <d v="2026-02-04T00:00:00"/>
    <x v="2"/>
    <m/>
    <n v="0"/>
    <n v="586.80999999999995"/>
    <n v="201"/>
    <s v="2026-01"/>
  </r>
  <r>
    <d v="2026-01-05T00:00:00"/>
    <s v="NF-10475"/>
    <s v="Goiás Office"/>
    <s v="Operações"/>
    <s v="Serviços"/>
    <n v="342.53"/>
    <s v="PIX"/>
    <s v="Bruno"/>
    <n v="30"/>
    <d v="2026-02-04T00:00:00"/>
    <x v="2"/>
    <m/>
    <n v="0"/>
    <n v="342.53"/>
    <n v="201"/>
    <s v="2026-01"/>
  </r>
  <r>
    <d v="2026-01-06T00:00:00"/>
    <s v="NF-10386"/>
    <s v="Capital Empresarial"/>
    <s v="Operações"/>
    <s v="Consultoria"/>
    <n v="1796.44"/>
    <s v="PIX"/>
    <s v="Fernanda"/>
    <n v="30"/>
    <d v="2026-02-05T00:00:00"/>
    <x v="0"/>
    <m/>
    <n v="0"/>
    <n v="1796.44"/>
    <n v="0"/>
    <s v="2026-01"/>
  </r>
  <r>
    <d v="2026-01-06T00:00:00"/>
    <s v="NF-10478"/>
    <s v="Central Materiais"/>
    <s v="Comercial"/>
    <s v="Material de Escritório"/>
    <n v="1058.8399999999999"/>
    <s v="PIX"/>
    <s v="Ana"/>
    <n v="30"/>
    <d v="2026-02-05T00:00:00"/>
    <x v="1"/>
    <d v="2026-02-09T00:00:00"/>
    <n v="1058.8399999999999"/>
    <n v="0"/>
    <n v="0"/>
    <s v="2026-01"/>
  </r>
  <r>
    <d v="2026-01-07T00:00:00"/>
    <s v="NF-10292"/>
    <s v="Prime Serviços"/>
    <s v="Financeiro"/>
    <s v="Software"/>
    <n v="1416.29"/>
    <s v="Boleto"/>
    <s v="Ana"/>
    <n v="7"/>
    <d v="2026-01-14T00:00:00"/>
    <x v="2"/>
    <m/>
    <n v="0"/>
    <n v="1416.29"/>
    <n v="222"/>
    <s v="2026-01"/>
  </r>
  <r>
    <d v="2026-01-08T00:00:00"/>
    <s v="NF-10364"/>
    <s v="Alfa Comércio Ltda."/>
    <s v="Operações"/>
    <s v="Equipamentos"/>
    <n v="2653.85"/>
    <s v="PIX"/>
    <s v="Lucas"/>
    <n v="30"/>
    <d v="2026-02-07T00:00:00"/>
    <x v="1"/>
    <d v="2026-02-16T00:00:00"/>
    <n v="2653.85"/>
    <n v="0"/>
    <n v="0"/>
    <s v="2026-01"/>
  </r>
  <r>
    <d v="2026-01-08T00:00:00"/>
    <s v="NF-10441"/>
    <s v="Nexus Consultoria"/>
    <s v="Comercial"/>
    <s v="Material de Escritório"/>
    <n v="1424.75"/>
    <s v="Cartão"/>
    <s v="Bruno"/>
    <n v="7"/>
    <d v="2026-01-15T00:00:00"/>
    <x v="2"/>
    <m/>
    <n v="0"/>
    <n v="1424.75"/>
    <n v="221"/>
    <s v="2026-01"/>
  </r>
  <r>
    <d v="2026-01-08T00:00:00"/>
    <s v="NF-10597"/>
    <s v="Nexus Consultoria"/>
    <s v="Administrativo"/>
    <s v="Software"/>
    <n v="1059.95"/>
    <s v="PIX"/>
    <s v="Fernanda"/>
    <n v="30"/>
    <d v="2026-02-07T00:00:00"/>
    <x v="1"/>
    <d v="2026-02-09T00:00:00"/>
    <n v="1059.95"/>
    <n v="0"/>
    <n v="0"/>
    <s v="2026-01"/>
  </r>
  <r>
    <d v="2026-01-08T00:00:00"/>
    <s v="NF-10471"/>
    <s v="Prime Serviços"/>
    <s v="Comercial"/>
    <s v="Serviços"/>
    <n v="2196.2399999999998"/>
    <s v="PIX"/>
    <s v="Bruno"/>
    <n v="7"/>
    <d v="2026-01-15T00:00:00"/>
    <x v="1"/>
    <d v="2026-01-22T00:00:00"/>
    <n v="2196.2399999999998"/>
    <n v="0"/>
    <n v="0"/>
    <s v="2026-01"/>
  </r>
  <r>
    <d v="2026-01-08T00:00:00"/>
    <s v="NF-10069"/>
    <s v="Aparecida Comercial"/>
    <s v="Operações"/>
    <s v="Consultoria"/>
    <n v="1134.19"/>
    <s v="PIX"/>
    <s v="Fernanda"/>
    <n v="7"/>
    <d v="2026-01-15T00:00:00"/>
    <x v="2"/>
    <m/>
    <n v="0"/>
    <n v="1134.19"/>
    <n v="221"/>
    <s v="2026-01"/>
  </r>
  <r>
    <d v="2026-01-09T00:00:00"/>
    <s v="NF-10113"/>
    <s v="Prime Serviços"/>
    <s v="Financeiro"/>
    <s v="Software"/>
    <n v="3388.76"/>
    <s v="PIX"/>
    <s v="Camila"/>
    <n v="45"/>
    <d v="2026-02-23T00:00:00"/>
    <x v="1"/>
    <d v="2026-02-27T00:00:00"/>
    <n v="3388.76"/>
    <n v="0"/>
    <n v="0"/>
    <s v="2026-01"/>
  </r>
  <r>
    <d v="2026-01-09T00:00:00"/>
    <s v="NF-10059"/>
    <s v="Goiás Office"/>
    <s v="Comercial"/>
    <s v="Consultoria"/>
    <n v="1344.54"/>
    <s v="Cartão"/>
    <s v="Diego"/>
    <n v="7"/>
    <d v="2026-01-16T00:00:00"/>
    <x v="1"/>
    <d v="2026-01-25T00:00:00"/>
    <n v="1344.54"/>
    <n v="0"/>
    <n v="0"/>
    <s v="2026-01"/>
  </r>
  <r>
    <d v="2026-01-09T00:00:00"/>
    <s v="NF-10305"/>
    <s v="Capital Empresarial"/>
    <s v="Operações"/>
    <s v="Software"/>
    <n v="970.38"/>
    <s v="Cartão"/>
    <s v="Bruno"/>
    <n v="30"/>
    <d v="2026-02-08T00:00:00"/>
    <x v="1"/>
    <d v="2026-02-12T00:00:00"/>
    <n v="970.38"/>
    <n v="0"/>
    <n v="0"/>
    <s v="2026-01"/>
  </r>
  <r>
    <d v="2026-01-10T00:00:00"/>
    <s v="NF-10550"/>
    <s v="Goiás Office"/>
    <s v="Comercial"/>
    <s v="Software"/>
    <n v="1028.44"/>
    <s v="PIX"/>
    <s v="Diego"/>
    <n v="7"/>
    <d v="2026-01-17T00:00:00"/>
    <x v="1"/>
    <d v="2026-01-27T00:00:00"/>
    <n v="1028.44"/>
    <n v="0"/>
    <n v="0"/>
    <s v="2026-01"/>
  </r>
  <r>
    <d v="2026-01-11T00:00:00"/>
    <s v="NF-10285"/>
    <s v="Beta Distribuidora"/>
    <s v="Administrativo"/>
    <s v="Software"/>
    <n v="5723.93"/>
    <s v="PIX"/>
    <s v="Fernanda"/>
    <n v="15"/>
    <d v="2026-01-26T00:00:00"/>
    <x v="1"/>
    <d v="2026-02-05T00:00:00"/>
    <n v="5723.93"/>
    <n v="0"/>
    <n v="0"/>
    <s v="2026-01"/>
  </r>
  <r>
    <d v="2026-01-12T00:00:00"/>
    <s v="NF-10221"/>
    <s v="Alfa Comércio Ltda."/>
    <s v="Comercial"/>
    <s v="Software"/>
    <n v="1304.19"/>
    <s v="Transferência"/>
    <s v="Camila"/>
    <n v="15"/>
    <d v="2026-01-27T00:00:00"/>
    <x v="1"/>
    <d v="2026-02-06T00:00:00"/>
    <n v="1304.19"/>
    <n v="0"/>
    <n v="0"/>
    <s v="2026-01"/>
  </r>
  <r>
    <d v="2026-01-12T00:00:00"/>
    <s v="NF-10590"/>
    <s v="NovaTech Soluções"/>
    <s v="Operações"/>
    <s v="Equipamentos"/>
    <n v="823.05"/>
    <s v="Cartão"/>
    <s v="Lucas"/>
    <n v="30"/>
    <d v="2026-02-11T00:00:00"/>
    <x v="0"/>
    <m/>
    <n v="0"/>
    <n v="823.05"/>
    <n v="0"/>
    <s v="2026-01"/>
  </r>
  <r>
    <d v="2026-01-12T00:00:00"/>
    <s v="NF-10131"/>
    <s v="Maxi Atacado"/>
    <s v="Financeiro"/>
    <s v="Serviços"/>
    <n v="5022.33"/>
    <s v="Transferência"/>
    <s v="Lucas"/>
    <n v="45"/>
    <d v="2026-02-26T00:00:00"/>
    <x v="1"/>
    <d v="2026-03-09T00:00:00"/>
    <n v="5022.33"/>
    <n v="0"/>
    <n v="0"/>
    <s v="2026-01"/>
  </r>
  <r>
    <d v="2026-01-12T00:00:00"/>
    <s v="NF-10580"/>
    <s v="Sul Center"/>
    <s v="Administrativo"/>
    <s v="Serviços"/>
    <n v="1199.74"/>
    <s v="Transferência"/>
    <s v="Ana"/>
    <n v="30"/>
    <d v="2026-02-11T00:00:00"/>
    <x v="1"/>
    <d v="2026-02-18T00:00:00"/>
    <n v="1199.74"/>
    <n v="0"/>
    <n v="0"/>
    <s v="2026-01"/>
  </r>
  <r>
    <d v="2026-01-13T00:00:00"/>
    <s v="NF-10433"/>
    <s v="NovaTech Soluções"/>
    <s v="Comercial"/>
    <s v="Equipamentos"/>
    <n v="1308.46"/>
    <s v="Cartão"/>
    <s v="Bruno"/>
    <n v="15"/>
    <d v="2026-01-28T00:00:00"/>
    <x v="1"/>
    <d v="2026-02-01T00:00:00"/>
    <n v="1308.46"/>
    <n v="0"/>
    <n v="0"/>
    <s v="2026-01"/>
  </r>
  <r>
    <d v="2026-01-13T00:00:00"/>
    <s v="NF-10488"/>
    <s v="Goiás Office"/>
    <s v="Administrativo"/>
    <s v="Consultoria"/>
    <n v="411.72"/>
    <s v="Boleto"/>
    <s v="Lucas"/>
    <n v="7"/>
    <d v="2026-01-20T00:00:00"/>
    <x v="1"/>
    <d v="2026-01-31T00:00:00"/>
    <n v="411.72"/>
    <n v="0"/>
    <n v="0"/>
    <s v="2026-01"/>
  </r>
  <r>
    <d v="2026-01-13T00:00:00"/>
    <s v="NF-10170"/>
    <s v="Nexus Consultoria"/>
    <s v="Financeiro"/>
    <s v="Consultoria"/>
    <n v="2474.81"/>
    <s v="Transferência"/>
    <s v="Lucas"/>
    <n v="30"/>
    <d v="2026-02-12T00:00:00"/>
    <x v="1"/>
    <d v="2026-02-15T00:00:00"/>
    <n v="2474.81"/>
    <n v="0"/>
    <n v="0"/>
    <s v="2026-01"/>
  </r>
  <r>
    <d v="2026-01-14T00:00:00"/>
    <s v="NF-10058"/>
    <s v="NovaTech Soluções"/>
    <s v="Operações"/>
    <s v="Equipamentos"/>
    <n v="667.6"/>
    <s v="Boleto"/>
    <s v="Camila"/>
    <n v="15"/>
    <d v="2026-01-29T00:00:00"/>
    <x v="0"/>
    <m/>
    <n v="0"/>
    <n v="667.6"/>
    <n v="0"/>
    <s v="2026-01"/>
  </r>
  <r>
    <d v="2026-01-14T00:00:00"/>
    <s v="NF-10090"/>
    <s v="Capital Empresarial"/>
    <s v="Administrativo"/>
    <s v="Consultoria"/>
    <n v="884.55"/>
    <s v="Transferência"/>
    <s v="Bruno"/>
    <n v="30"/>
    <d v="2026-02-13T00:00:00"/>
    <x v="0"/>
    <m/>
    <n v="0"/>
    <n v="884.55"/>
    <n v="0"/>
    <s v="2026-01"/>
  </r>
  <r>
    <d v="2026-01-15T00:00:00"/>
    <s v="NF-10108"/>
    <s v="Central Materiais"/>
    <s v="Administrativo"/>
    <s v="Equipamentos"/>
    <n v="539.08000000000004"/>
    <s v="PIX"/>
    <s v="Diego"/>
    <n v="30"/>
    <d v="2026-02-14T00:00:00"/>
    <x v="1"/>
    <d v="2026-02-23T00:00:00"/>
    <n v="539.08000000000004"/>
    <n v="0"/>
    <n v="0"/>
    <s v="2026-01"/>
  </r>
  <r>
    <d v="2026-01-15T00:00:00"/>
    <s v="NF-10003"/>
    <s v="Goiás Office"/>
    <s v="Administrativo"/>
    <s v="Material de Escritório"/>
    <n v="1868.94"/>
    <s v="PIX"/>
    <s v="Ana"/>
    <n v="30"/>
    <d v="2026-02-14T00:00:00"/>
    <x v="2"/>
    <m/>
    <n v="0"/>
    <n v="1868.94"/>
    <n v="191"/>
    <s v="2026-01"/>
  </r>
  <r>
    <d v="2026-01-15T00:00:00"/>
    <s v="NF-10467"/>
    <s v="Capital Empresarial"/>
    <s v="Comercial"/>
    <s v="Software"/>
    <n v="3415.39"/>
    <s v="Transferência"/>
    <s v="Ana"/>
    <n v="30"/>
    <d v="2026-02-14T00:00:00"/>
    <x v="1"/>
    <d v="2026-02-23T00:00:00"/>
    <n v="3415.39"/>
    <n v="0"/>
    <n v="0"/>
    <s v="2026-01"/>
  </r>
  <r>
    <d v="2026-01-15T00:00:00"/>
    <s v="NF-10093"/>
    <s v="Jardim Suprimentos"/>
    <s v="Comercial"/>
    <s v="Material de Escritório"/>
    <n v="2376.63"/>
    <s v="PIX"/>
    <s v="Lucas"/>
    <n v="45"/>
    <d v="2026-03-01T00:00:00"/>
    <x v="1"/>
    <d v="2026-03-04T00:00:00"/>
    <n v="2376.63"/>
    <n v="0"/>
    <n v="0"/>
    <s v="2026-01"/>
  </r>
  <r>
    <d v="2026-01-15T00:00:00"/>
    <s v="NF-10039"/>
    <s v="Alfa Comércio Ltda."/>
    <s v="Operações"/>
    <s v="Consultoria"/>
    <n v="894.67"/>
    <s v="Cartão"/>
    <s v="Camila"/>
    <n v="30"/>
    <d v="2026-02-14T00:00:00"/>
    <x v="1"/>
    <d v="2026-02-24T00:00:00"/>
    <n v="894.67"/>
    <n v="0"/>
    <n v="0"/>
    <s v="2026-01"/>
  </r>
  <r>
    <d v="2026-01-15T00:00:00"/>
    <s v="NF-10154"/>
    <s v="Beta Distribuidora"/>
    <s v="Financeiro"/>
    <s v="Serviços"/>
    <n v="1708.52"/>
    <s v="Boleto"/>
    <s v="Fernanda"/>
    <n v="15"/>
    <d v="2026-01-30T00:00:00"/>
    <x v="1"/>
    <d v="2026-02-01T00:00:00"/>
    <n v="1708.52"/>
    <n v="0"/>
    <n v="0"/>
    <s v="2026-01"/>
  </r>
  <r>
    <d v="2026-01-16T00:00:00"/>
    <s v="NF-10520"/>
    <s v="Sul Center"/>
    <s v="Financeiro"/>
    <s v="Software"/>
    <n v="1814.15"/>
    <s v="Boleto"/>
    <s v="Lucas"/>
    <n v="15"/>
    <d v="2026-01-31T00:00:00"/>
    <x v="1"/>
    <d v="2026-02-06T00:00:00"/>
    <n v="1814.15"/>
    <n v="0"/>
    <n v="0"/>
    <s v="2026-01"/>
  </r>
  <r>
    <d v="2026-01-16T00:00:00"/>
    <s v="NF-10562"/>
    <s v="Nexus Consultoria"/>
    <s v="Comercial"/>
    <s v="Consultoria"/>
    <n v="813.59"/>
    <s v="PIX"/>
    <s v="Lucas"/>
    <n v="15"/>
    <d v="2026-01-31T00:00:00"/>
    <x v="1"/>
    <d v="2026-01-31T00:00:00"/>
    <n v="813.59"/>
    <n v="0"/>
    <n v="0"/>
    <s v="2026-01"/>
  </r>
  <r>
    <d v="2026-01-17T00:00:00"/>
    <s v="NF-10381"/>
    <s v="Goiás Office"/>
    <s v="Financeiro"/>
    <s v="Equipamentos"/>
    <n v="3173.31"/>
    <s v="PIX"/>
    <s v="Lucas"/>
    <n v="30"/>
    <d v="2026-02-16T00:00:00"/>
    <x v="0"/>
    <m/>
    <n v="0"/>
    <n v="3173.31"/>
    <n v="0"/>
    <s v="2026-01"/>
  </r>
  <r>
    <d v="2026-01-17T00:00:00"/>
    <s v="NF-10420"/>
    <s v="Sul Center"/>
    <s v="Comercial"/>
    <s v="Software"/>
    <n v="1778.77"/>
    <s v="PIX"/>
    <s v="Diego"/>
    <n v="30"/>
    <d v="2026-02-16T00:00:00"/>
    <x v="1"/>
    <d v="2026-02-20T00:00:00"/>
    <n v="1778.77"/>
    <n v="0"/>
    <n v="0"/>
    <s v="2026-01"/>
  </r>
  <r>
    <d v="2026-01-18T00:00:00"/>
    <s v="NF-10403"/>
    <s v="Alfa Comércio Ltda."/>
    <s v="Comercial"/>
    <s v="Consultoria"/>
    <n v="1458.91"/>
    <s v="PIX"/>
    <s v="Ana"/>
    <n v="15"/>
    <d v="2026-02-02T00:00:00"/>
    <x v="1"/>
    <d v="2026-02-03T00:00:00"/>
    <n v="1458.91"/>
    <n v="0"/>
    <n v="0"/>
    <s v="2026-01"/>
  </r>
  <r>
    <d v="2026-01-18T00:00:00"/>
    <s v="NF-10054"/>
    <s v="Central Materiais"/>
    <s v="Administrativo"/>
    <s v="Software"/>
    <n v="2785.38"/>
    <s v="PIX"/>
    <s v="Fernanda"/>
    <n v="30"/>
    <d v="2026-02-17T00:00:00"/>
    <x v="1"/>
    <d v="2026-02-28T00:00:00"/>
    <n v="2785.38"/>
    <n v="0"/>
    <n v="0"/>
    <s v="2026-01"/>
  </r>
  <r>
    <d v="2026-01-19T00:00:00"/>
    <s v="NF-10497"/>
    <s v="Maxi Atacado"/>
    <s v="Financeiro"/>
    <s v="Consultoria"/>
    <n v="626.69000000000005"/>
    <s v="Boleto"/>
    <s v="Lucas"/>
    <n v="7"/>
    <d v="2026-01-26T00:00:00"/>
    <x v="0"/>
    <m/>
    <n v="0"/>
    <n v="626.69000000000005"/>
    <n v="0"/>
    <s v="2026-01"/>
  </r>
  <r>
    <d v="2026-01-20T00:00:00"/>
    <s v="NF-10439"/>
    <s v="Central Materiais"/>
    <s v="Administrativo"/>
    <s v="Serviços"/>
    <n v="1327.13"/>
    <s v="PIX"/>
    <s v="Diego"/>
    <n v="7"/>
    <d v="2026-01-27T00:00:00"/>
    <x v="1"/>
    <d v="2026-02-03T00:00:00"/>
    <n v="1327.13"/>
    <n v="0"/>
    <n v="0"/>
    <s v="2026-01"/>
  </r>
  <r>
    <d v="2026-01-21T00:00:00"/>
    <s v="NF-10051"/>
    <s v="Sul Center"/>
    <s v="Operações"/>
    <s v="Serviços"/>
    <n v="1561.93"/>
    <s v="Cartão"/>
    <s v="Diego"/>
    <n v="45"/>
    <d v="2026-03-07T00:00:00"/>
    <x v="0"/>
    <m/>
    <n v="0"/>
    <n v="1561.93"/>
    <n v="0"/>
    <s v="2026-01"/>
  </r>
  <r>
    <d v="2026-01-21T00:00:00"/>
    <s v="NF-10007"/>
    <s v="Capital Empresarial"/>
    <s v="Financeiro"/>
    <s v="Equipamentos"/>
    <n v="1059.8399999999999"/>
    <s v="PIX"/>
    <s v="Camila"/>
    <n v="30"/>
    <d v="2026-02-20T00:00:00"/>
    <x v="1"/>
    <d v="2026-02-26T00:00:00"/>
    <n v="1059.8399999999999"/>
    <n v="0"/>
    <n v="0"/>
    <s v="2026-01"/>
  </r>
  <r>
    <d v="2026-01-21T00:00:00"/>
    <s v="NF-10367"/>
    <s v="Goiás Office"/>
    <s v="Financeiro"/>
    <s v="Serviços"/>
    <n v="1896.68"/>
    <s v="Transferência"/>
    <s v="Lucas"/>
    <n v="30"/>
    <d v="2026-02-20T00:00:00"/>
    <x v="0"/>
    <m/>
    <n v="0"/>
    <n v="1896.68"/>
    <n v="0"/>
    <s v="2026-01"/>
  </r>
  <r>
    <d v="2026-01-21T00:00:00"/>
    <s v="NF-10343"/>
    <s v="NovaTech Soluções"/>
    <s v="Administrativo"/>
    <s v="Consultoria"/>
    <n v="1449.14"/>
    <s v="PIX"/>
    <s v="Lucas"/>
    <n v="30"/>
    <d v="2026-02-20T00:00:00"/>
    <x v="0"/>
    <m/>
    <n v="0"/>
    <n v="1449.14"/>
    <n v="0"/>
    <s v="2026-01"/>
  </r>
  <r>
    <d v="2026-01-21T00:00:00"/>
    <s v="NF-10028"/>
    <s v="Nexus Consultoria"/>
    <s v="Financeiro"/>
    <s v="Consultoria"/>
    <n v="766.44"/>
    <s v="Boleto"/>
    <s v="Fernanda"/>
    <n v="45"/>
    <d v="2026-03-07T00:00:00"/>
    <x v="0"/>
    <m/>
    <n v="0"/>
    <n v="766.44"/>
    <n v="0"/>
    <s v="2026-01"/>
  </r>
  <r>
    <d v="2026-01-22T00:00:00"/>
    <s v="NF-10358"/>
    <s v="Prime Serviços"/>
    <s v="Administrativo"/>
    <s v="Consultoria"/>
    <n v="3506.48"/>
    <s v="Transferência"/>
    <s v="Lucas"/>
    <n v="45"/>
    <d v="2026-03-08T00:00:00"/>
    <x v="0"/>
    <m/>
    <n v="0"/>
    <n v="3506.48"/>
    <n v="0"/>
    <s v="2026-01"/>
  </r>
  <r>
    <d v="2026-01-22T00:00:00"/>
    <s v="NF-10525"/>
    <s v="Alfa Comércio Ltda."/>
    <s v="Comercial"/>
    <s v="Serviços"/>
    <n v="759.66"/>
    <s v="Boleto"/>
    <s v="Lucas"/>
    <n v="15"/>
    <d v="2026-02-06T00:00:00"/>
    <x v="1"/>
    <d v="2026-02-07T00:00:00"/>
    <n v="759.66"/>
    <n v="0"/>
    <n v="0"/>
    <s v="2026-01"/>
  </r>
  <r>
    <d v="2026-01-22T00:00:00"/>
    <s v="NF-10032"/>
    <s v="Alfa Comércio Ltda."/>
    <s v="Comercial"/>
    <s v="Material de Escritório"/>
    <n v="616.74"/>
    <s v="Transferência"/>
    <s v="Bruno"/>
    <n v="30"/>
    <d v="2026-02-21T00:00:00"/>
    <x v="1"/>
    <d v="2026-03-04T00:00:00"/>
    <n v="616.74"/>
    <n v="0"/>
    <n v="0"/>
    <s v="2026-01"/>
  </r>
  <r>
    <d v="2026-01-23T00:00:00"/>
    <s v="NF-10549"/>
    <s v="Nexus Consultoria"/>
    <s v="Financeiro"/>
    <s v="Consultoria"/>
    <n v="2926.93"/>
    <s v="Cartão"/>
    <s v="Bruno"/>
    <n v="30"/>
    <d v="2026-02-22T00:00:00"/>
    <x v="2"/>
    <m/>
    <n v="0"/>
    <n v="2926.93"/>
    <n v="183"/>
    <s v="2026-01"/>
  </r>
  <r>
    <d v="2026-01-23T00:00:00"/>
    <s v="NF-10504"/>
    <s v="Sul Center"/>
    <s v="Financeiro"/>
    <s v="Equipamentos"/>
    <n v="805.55"/>
    <s v="PIX"/>
    <s v="Camila"/>
    <n v="30"/>
    <d v="2026-02-22T00:00:00"/>
    <x v="0"/>
    <m/>
    <n v="0"/>
    <n v="805.55"/>
    <n v="0"/>
    <s v="2026-01"/>
  </r>
  <r>
    <d v="2026-01-24T00:00:00"/>
    <s v="NF-10390"/>
    <s v="Sul Center"/>
    <s v="Operações"/>
    <s v="Serviços"/>
    <n v="1926"/>
    <s v="Cartão"/>
    <s v="Diego"/>
    <n v="45"/>
    <d v="2026-03-10T00:00:00"/>
    <x v="0"/>
    <m/>
    <n v="0"/>
    <n v="1926"/>
    <n v="0"/>
    <s v="2026-01"/>
  </r>
  <r>
    <d v="2026-01-24T00:00:00"/>
    <s v="NF-10563"/>
    <s v="Goiás Office"/>
    <s v="Administrativo"/>
    <s v="Consultoria"/>
    <n v="683.92"/>
    <s v="Transferência"/>
    <s v="Diego"/>
    <n v="30"/>
    <d v="2026-02-23T00:00:00"/>
    <x v="1"/>
    <d v="2026-03-02T00:00:00"/>
    <n v="683.92"/>
    <n v="0"/>
    <n v="0"/>
    <s v="2026-01"/>
  </r>
  <r>
    <d v="2026-01-24T00:00:00"/>
    <s v="NF-10102"/>
    <s v="Prime Serviços"/>
    <s v="Operações"/>
    <s v="Software"/>
    <n v="2136.0100000000002"/>
    <s v="Cartão"/>
    <s v="Lucas"/>
    <n v="7"/>
    <d v="2026-01-31T00:00:00"/>
    <x v="1"/>
    <d v="2026-02-04T00:00:00"/>
    <n v="2136.0100000000002"/>
    <n v="0"/>
    <n v="0"/>
    <s v="2026-01"/>
  </r>
  <r>
    <d v="2026-01-24T00:00:00"/>
    <s v="NF-10252"/>
    <s v="Nexus Consultoria"/>
    <s v="Financeiro"/>
    <s v="Serviços"/>
    <n v="1770.58"/>
    <s v="PIX"/>
    <s v="Fernanda"/>
    <n v="7"/>
    <d v="2026-01-31T00:00:00"/>
    <x v="1"/>
    <d v="2026-02-03T00:00:00"/>
    <n v="1770.58"/>
    <n v="0"/>
    <n v="0"/>
    <s v="2026-01"/>
  </r>
  <r>
    <d v="2026-01-24T00:00:00"/>
    <s v="NF-10410"/>
    <s v="Beta Distribuidora"/>
    <s v="Financeiro"/>
    <s v="Consultoria"/>
    <n v="1272.99"/>
    <s v="Boleto"/>
    <s v="Bruno"/>
    <n v="30"/>
    <d v="2026-02-23T00:00:00"/>
    <x v="1"/>
    <d v="2026-03-05T00:00:00"/>
    <n v="1272.99"/>
    <n v="0"/>
    <n v="0"/>
    <s v="2026-01"/>
  </r>
  <r>
    <d v="2026-01-25T00:00:00"/>
    <s v="NF-10404"/>
    <s v="Central Materiais"/>
    <s v="Comercial"/>
    <s v="Software"/>
    <n v="535.77"/>
    <s v="Boleto"/>
    <s v="Bruno"/>
    <n v="30"/>
    <d v="2026-02-24T00:00:00"/>
    <x v="1"/>
    <d v="2026-03-03T00:00:00"/>
    <n v="535.77"/>
    <n v="0"/>
    <n v="0"/>
    <s v="2026-01"/>
  </r>
  <r>
    <d v="2026-01-26T00:00:00"/>
    <s v="NF-10428"/>
    <s v="Jardim Suprimentos"/>
    <s v="Comercial"/>
    <s v="Serviços"/>
    <n v="424.65"/>
    <s v="Cartão"/>
    <s v="Camila"/>
    <n v="7"/>
    <d v="2026-02-02T00:00:00"/>
    <x v="1"/>
    <d v="2026-02-07T00:00:00"/>
    <n v="424.65"/>
    <n v="0"/>
    <n v="0"/>
    <s v="2026-01"/>
  </r>
  <r>
    <d v="2026-01-27T00:00:00"/>
    <s v="NF-10366"/>
    <s v="Alfa Comércio Ltda."/>
    <s v="Operações"/>
    <s v="Software"/>
    <n v="2268.69"/>
    <s v="Transferência"/>
    <s v="Diego"/>
    <n v="30"/>
    <d v="2026-02-26T00:00:00"/>
    <x v="2"/>
    <m/>
    <n v="0"/>
    <n v="2268.69"/>
    <n v="179"/>
    <s v="2026-01"/>
  </r>
  <r>
    <d v="2026-01-27T00:00:00"/>
    <s v="NF-10151"/>
    <s v="Goiás Office"/>
    <s v="Administrativo"/>
    <s v="Material de Escritório"/>
    <n v="3862.46"/>
    <s v="Boleto"/>
    <s v="Diego"/>
    <n v="7"/>
    <d v="2026-02-03T00:00:00"/>
    <x v="1"/>
    <d v="2026-02-04T00:00:00"/>
    <n v="3862.46"/>
    <n v="0"/>
    <n v="0"/>
    <s v="2026-01"/>
  </r>
  <r>
    <d v="2026-01-27T00:00:00"/>
    <s v="NF-10195"/>
    <s v="Goiás Office"/>
    <s v="Operações"/>
    <s v="Software"/>
    <n v="757.35"/>
    <s v="Transferência"/>
    <s v="Fernanda"/>
    <n v="45"/>
    <d v="2026-03-13T00:00:00"/>
    <x v="0"/>
    <m/>
    <n v="0"/>
    <n v="757.35"/>
    <n v="0"/>
    <s v="2026-01"/>
  </r>
  <r>
    <d v="2026-01-27T00:00:00"/>
    <s v="NF-10365"/>
    <s v="Nexus Consultoria"/>
    <s v="Administrativo"/>
    <s v="Equipamentos"/>
    <n v="708.87"/>
    <s v="PIX"/>
    <s v="Bruno"/>
    <n v="30"/>
    <d v="2026-02-26T00:00:00"/>
    <x v="0"/>
    <m/>
    <n v="0"/>
    <n v="708.87"/>
    <n v="0"/>
    <s v="2026-01"/>
  </r>
  <r>
    <d v="2026-01-28T00:00:00"/>
    <s v="NF-10175"/>
    <s v="Maxi Atacado"/>
    <s v="Financeiro"/>
    <s v="Equipamentos"/>
    <n v="1308"/>
    <s v="Cartão"/>
    <s v="Ana"/>
    <n v="15"/>
    <d v="2026-02-12T00:00:00"/>
    <x v="2"/>
    <m/>
    <n v="0"/>
    <n v="1308"/>
    <n v="193"/>
    <s v="2026-01"/>
  </r>
  <r>
    <d v="2026-01-28T00:00:00"/>
    <s v="NF-10182"/>
    <s v="Maxi Atacado"/>
    <s v="Financeiro"/>
    <s v="Equipamentos"/>
    <n v="3746.91"/>
    <s v="Boleto"/>
    <s v="Bruno"/>
    <n v="30"/>
    <d v="2026-02-27T00:00:00"/>
    <x v="0"/>
    <m/>
    <n v="0"/>
    <n v="3746.91"/>
    <n v="0"/>
    <s v="2026-01"/>
  </r>
  <r>
    <d v="2026-01-28T00:00:00"/>
    <s v="NF-10183"/>
    <s v="Maxi Atacado"/>
    <s v="Administrativo"/>
    <s v="Consultoria"/>
    <n v="1714.56"/>
    <s v="Boleto"/>
    <s v="Lucas"/>
    <n v="7"/>
    <d v="2026-02-04T00:00:00"/>
    <x v="0"/>
    <m/>
    <n v="0"/>
    <n v="1714.56"/>
    <n v="0"/>
    <s v="2026-01"/>
  </r>
  <r>
    <d v="2026-01-28T00:00:00"/>
    <s v="NF-10370"/>
    <s v="Prime Serviços"/>
    <s v="Operações"/>
    <s v="Equipamentos"/>
    <n v="1962.85"/>
    <s v="PIX"/>
    <s v="Diego"/>
    <n v="30"/>
    <d v="2026-02-27T00:00:00"/>
    <x v="1"/>
    <d v="2026-03-03T00:00:00"/>
    <n v="1962.85"/>
    <n v="0"/>
    <n v="0"/>
    <s v="2026-01"/>
  </r>
  <r>
    <d v="2026-01-28T00:00:00"/>
    <s v="NF-10127"/>
    <s v="Sul Center"/>
    <s v="Operações"/>
    <s v="Serviços"/>
    <n v="1146.49"/>
    <s v="Boleto"/>
    <s v="Bruno"/>
    <n v="7"/>
    <d v="2026-02-04T00:00:00"/>
    <x v="1"/>
    <d v="2026-02-15T00:00:00"/>
    <n v="1146.49"/>
    <n v="0"/>
    <n v="0"/>
    <s v="2026-01"/>
  </r>
  <r>
    <d v="2026-01-29T00:00:00"/>
    <s v="NF-10588"/>
    <s v="Beta Distribuidora"/>
    <s v="Administrativo"/>
    <s v="Software"/>
    <n v="1982.54"/>
    <s v="Transferência"/>
    <s v="Bruno"/>
    <n v="15"/>
    <d v="2026-02-13T00:00:00"/>
    <x v="2"/>
    <m/>
    <n v="0"/>
    <n v="1982.54"/>
    <n v="192"/>
    <s v="2026-01"/>
  </r>
  <r>
    <d v="2026-01-29T00:00:00"/>
    <s v="NF-10168"/>
    <s v="Prime Serviços"/>
    <s v="Administrativo"/>
    <s v="Material de Escritório"/>
    <n v="3870.83"/>
    <s v="Transferência"/>
    <s v="Bruno"/>
    <n v="30"/>
    <d v="2026-02-28T00:00:00"/>
    <x v="1"/>
    <d v="2026-03-02T00:00:00"/>
    <n v="3870.83"/>
    <n v="0"/>
    <n v="0"/>
    <s v="2026-01"/>
  </r>
  <r>
    <d v="2026-01-29T00:00:00"/>
    <s v="NF-10534"/>
    <s v="Goiás Office"/>
    <s v="Financeiro"/>
    <s v="Software"/>
    <n v="984.62"/>
    <s v="Transferência"/>
    <s v="Camila"/>
    <n v="30"/>
    <d v="2026-02-28T00:00:00"/>
    <x v="1"/>
    <d v="2026-03-02T00:00:00"/>
    <n v="984.62"/>
    <n v="0"/>
    <n v="0"/>
    <s v="2026-01"/>
  </r>
  <r>
    <d v="2026-01-30T00:00:00"/>
    <s v="NF-10368"/>
    <s v="Central Materiais"/>
    <s v="Financeiro"/>
    <s v="Software"/>
    <n v="2280.41"/>
    <s v="Transferência"/>
    <s v="Bruno"/>
    <n v="15"/>
    <d v="2026-02-14T00:00:00"/>
    <x v="1"/>
    <d v="2026-02-15T00:00:00"/>
    <n v="2280.41"/>
    <n v="0"/>
    <n v="0"/>
    <s v="2026-01"/>
  </r>
  <r>
    <d v="2026-01-30T00:00:00"/>
    <s v="NF-10187"/>
    <s v="Jardim Suprimentos"/>
    <s v="Comercial"/>
    <s v="Equipamentos"/>
    <n v="851.49"/>
    <s v="PIX"/>
    <s v="Ana"/>
    <n v="30"/>
    <d v="2026-03-01T00:00:00"/>
    <x v="2"/>
    <m/>
    <n v="0"/>
    <n v="851.49"/>
    <n v="176"/>
    <s v="2026-01"/>
  </r>
  <r>
    <d v="2026-02-01T00:00:00"/>
    <s v="NF-10412"/>
    <s v="Prime Serviços"/>
    <s v="Comercial"/>
    <s v="Consultoria"/>
    <n v="3321.27"/>
    <s v="Cartão"/>
    <s v="Diego"/>
    <n v="15"/>
    <d v="2026-02-16T00:00:00"/>
    <x v="1"/>
    <d v="2026-02-27T00:00:00"/>
    <n v="3321.27"/>
    <n v="0"/>
    <n v="0"/>
    <s v="2026-02"/>
  </r>
  <r>
    <d v="2026-02-01T00:00:00"/>
    <s v="NF-10450"/>
    <s v="Nexus Consultoria"/>
    <s v="Operações"/>
    <s v="Material de Escritório"/>
    <n v="1906.14"/>
    <s v="Boleto"/>
    <s v="Lucas"/>
    <n v="45"/>
    <d v="2026-03-18T00:00:00"/>
    <x v="0"/>
    <m/>
    <n v="0"/>
    <n v="1906.14"/>
    <n v="0"/>
    <s v="2026-02"/>
  </r>
  <r>
    <d v="2026-02-02T00:00:00"/>
    <s v="NF-10352"/>
    <s v="Capital Empresarial"/>
    <s v="Financeiro"/>
    <s v="Software"/>
    <n v="1459.56"/>
    <s v="PIX"/>
    <s v="Diego"/>
    <n v="7"/>
    <d v="2026-02-09T00:00:00"/>
    <x v="1"/>
    <d v="2026-02-09T00:00:00"/>
    <n v="1459.56"/>
    <n v="0"/>
    <n v="0"/>
    <s v="2026-02"/>
  </r>
  <r>
    <d v="2026-02-02T00:00:00"/>
    <s v="NF-10123"/>
    <s v="Capital Empresarial"/>
    <s v="Comercial"/>
    <s v="Consultoria"/>
    <n v="853.86"/>
    <s v="Transferência"/>
    <s v="Fernanda"/>
    <n v="15"/>
    <d v="2026-02-17T00:00:00"/>
    <x v="1"/>
    <d v="2026-02-24T00:00:00"/>
    <n v="853.86"/>
    <n v="0"/>
    <n v="0"/>
    <s v="2026-02"/>
  </r>
  <r>
    <d v="2026-02-02T00:00:00"/>
    <s v="NF-10341"/>
    <s v="Capital Empresarial"/>
    <s v="Operações"/>
    <s v="Material de Escritório"/>
    <n v="848.15"/>
    <s v="Cartão"/>
    <s v="Fernanda"/>
    <n v="15"/>
    <d v="2026-02-17T00:00:00"/>
    <x v="1"/>
    <d v="2026-02-18T00:00:00"/>
    <n v="848.15"/>
    <n v="0"/>
    <n v="0"/>
    <s v="2026-02"/>
  </r>
  <r>
    <d v="2026-02-02T00:00:00"/>
    <s v="NF-10133"/>
    <s v="Maxi Atacado"/>
    <s v="Financeiro"/>
    <s v="Consultoria"/>
    <n v="657.24"/>
    <s v="Cartão"/>
    <s v="Diego"/>
    <n v="7"/>
    <d v="2026-02-09T00:00:00"/>
    <x v="1"/>
    <d v="2026-02-15T00:00:00"/>
    <n v="657.24"/>
    <n v="0"/>
    <n v="0"/>
    <s v="2026-02"/>
  </r>
  <r>
    <d v="2026-02-02T00:00:00"/>
    <s v="NF-10574"/>
    <s v="Alfa Comércio Ltda."/>
    <s v="Financeiro"/>
    <s v="Software"/>
    <n v="2380.9299999999998"/>
    <s v="Boleto"/>
    <s v="Bruno"/>
    <n v="15"/>
    <d v="2026-02-17T00:00:00"/>
    <x v="1"/>
    <d v="2026-02-26T00:00:00"/>
    <n v="2380.9299999999998"/>
    <n v="0"/>
    <n v="0"/>
    <s v="2026-02"/>
  </r>
  <r>
    <d v="2026-02-02T00:00:00"/>
    <s v="NF-10547"/>
    <s v="Nexus Consultoria"/>
    <s v="Financeiro"/>
    <s v="Equipamentos"/>
    <n v="1072.53"/>
    <s v="Boleto"/>
    <s v="Lucas"/>
    <n v="30"/>
    <d v="2026-03-04T00:00:00"/>
    <x v="1"/>
    <d v="2026-03-07T00:00:00"/>
    <n v="1072.53"/>
    <n v="0"/>
    <n v="0"/>
    <s v="2026-02"/>
  </r>
  <r>
    <d v="2026-02-03T00:00:00"/>
    <s v="NF-10553"/>
    <s v="Aparecida Comercial"/>
    <s v="Operações"/>
    <s v="Software"/>
    <n v="1957.32"/>
    <s v="PIX"/>
    <s v="Fernanda"/>
    <n v="30"/>
    <d v="2026-03-05T00:00:00"/>
    <x v="0"/>
    <m/>
    <n v="0"/>
    <n v="1957.32"/>
    <n v="0"/>
    <s v="2026-02"/>
  </r>
  <r>
    <d v="2026-02-03T00:00:00"/>
    <s v="NF-10512"/>
    <s v="Alfa Comércio Ltda."/>
    <s v="Administrativo"/>
    <s v="Consultoria"/>
    <n v="950.15"/>
    <s v="Boleto"/>
    <s v="Diego"/>
    <n v="15"/>
    <d v="2026-02-18T00:00:00"/>
    <x v="1"/>
    <d v="2026-02-24T00:00:00"/>
    <n v="950.15"/>
    <n v="0"/>
    <n v="0"/>
    <s v="2026-02"/>
  </r>
  <r>
    <d v="2026-02-04T00:00:00"/>
    <s v="NF-10378"/>
    <s v="Nexus Consultoria"/>
    <s v="Comercial"/>
    <s v="Serviços"/>
    <n v="951.38"/>
    <s v="Boleto"/>
    <s v="Diego"/>
    <n v="45"/>
    <d v="2026-03-21T00:00:00"/>
    <x v="1"/>
    <d v="2026-03-25T00:00:00"/>
    <n v="951.38"/>
    <n v="0"/>
    <n v="0"/>
    <s v="2026-02"/>
  </r>
  <r>
    <d v="2026-02-04T00:00:00"/>
    <s v="NF-10071"/>
    <s v="Capital Empresarial"/>
    <s v="Financeiro"/>
    <s v="Equipamentos"/>
    <n v="1411.93"/>
    <s v="PIX"/>
    <s v="Camila"/>
    <n v="30"/>
    <d v="2026-03-06T00:00:00"/>
    <x v="0"/>
    <m/>
    <n v="0"/>
    <n v="1411.93"/>
    <n v="0"/>
    <s v="2026-02"/>
  </r>
  <r>
    <d v="2026-02-04T00:00:00"/>
    <s v="NF-10141"/>
    <s v="Capital Empresarial"/>
    <s v="Administrativo"/>
    <s v="Material de Escritório"/>
    <n v="2446.39"/>
    <s v="Boleto"/>
    <s v="Diego"/>
    <n v="30"/>
    <d v="2026-03-06T00:00:00"/>
    <x v="1"/>
    <d v="2026-03-15T00:00:00"/>
    <n v="2446.39"/>
    <n v="0"/>
    <n v="0"/>
    <s v="2026-02"/>
  </r>
  <r>
    <d v="2026-02-04T00:00:00"/>
    <s v="NF-10594"/>
    <s v="Prime Serviços"/>
    <s v="Financeiro"/>
    <s v="Material de Escritório"/>
    <n v="774.67"/>
    <s v="PIX"/>
    <s v="Camila"/>
    <n v="15"/>
    <d v="2026-02-19T00:00:00"/>
    <x v="0"/>
    <m/>
    <n v="0"/>
    <n v="774.67"/>
    <n v="0"/>
    <s v="2026-02"/>
  </r>
  <r>
    <d v="2026-02-05T00:00:00"/>
    <s v="NF-10169"/>
    <s v="Maxi Atacado"/>
    <s v="Administrativo"/>
    <s v="Software"/>
    <n v="1130.49"/>
    <s v="Boleto"/>
    <s v="Lucas"/>
    <n v="30"/>
    <d v="2026-03-07T00:00:00"/>
    <x v="1"/>
    <d v="2026-03-14T00:00:00"/>
    <n v="1130.49"/>
    <n v="0"/>
    <n v="0"/>
    <s v="2026-02"/>
  </r>
  <r>
    <d v="2026-02-05T00:00:00"/>
    <s v="NF-10437"/>
    <s v="Prime Serviços"/>
    <s v="Comercial"/>
    <s v="Serviços"/>
    <n v="302.97000000000003"/>
    <s v="PIX"/>
    <s v="Fernanda"/>
    <n v="30"/>
    <d v="2026-03-07T00:00:00"/>
    <x v="0"/>
    <m/>
    <n v="0"/>
    <n v="302.97000000000003"/>
    <n v="0"/>
    <s v="2026-02"/>
  </r>
  <r>
    <d v="2026-02-06T00:00:00"/>
    <s v="NF-10389"/>
    <s v="Goiás Office"/>
    <s v="Comercial"/>
    <s v="Equipamentos"/>
    <n v="4009.07"/>
    <s v="Transferência"/>
    <s v="Camila"/>
    <n v="30"/>
    <d v="2026-03-08T00:00:00"/>
    <x v="1"/>
    <d v="2026-03-17T00:00:00"/>
    <n v="4009.07"/>
    <n v="0"/>
    <n v="0"/>
    <s v="2026-02"/>
  </r>
  <r>
    <d v="2026-02-06T00:00:00"/>
    <s v="NF-10137"/>
    <s v="Alfa Comércio Ltda."/>
    <s v="Comercial"/>
    <s v="Equipamentos"/>
    <n v="750.52"/>
    <s v="PIX"/>
    <s v="Camila"/>
    <n v="30"/>
    <d v="2026-03-08T00:00:00"/>
    <x v="0"/>
    <m/>
    <n v="0"/>
    <n v="750.52"/>
    <n v="0"/>
    <s v="2026-02"/>
  </r>
  <r>
    <d v="2026-02-06T00:00:00"/>
    <s v="NF-10303"/>
    <s v="Nexus Consultoria"/>
    <s v="Administrativo"/>
    <s v="Software"/>
    <n v="2245.75"/>
    <s v="Boleto"/>
    <s v="Fernanda"/>
    <n v="15"/>
    <d v="2026-02-21T00:00:00"/>
    <x v="1"/>
    <d v="2026-02-27T00:00:00"/>
    <n v="2245.75"/>
    <n v="0"/>
    <n v="0"/>
    <s v="2026-02"/>
  </r>
  <r>
    <d v="2026-02-07T00:00:00"/>
    <s v="NF-10251"/>
    <s v="Alfa Comércio Ltda."/>
    <s v="Financeiro"/>
    <s v="Software"/>
    <n v="1870.15"/>
    <s v="Transferência"/>
    <s v="Camila"/>
    <n v="15"/>
    <d v="2026-02-22T00:00:00"/>
    <x v="2"/>
    <m/>
    <n v="0"/>
    <n v="1870.15"/>
    <n v="183"/>
    <s v="2026-02"/>
  </r>
  <r>
    <d v="2026-02-07T00:00:00"/>
    <s v="NF-10360"/>
    <s v="Jardim Suprimentos"/>
    <s v="Comercial"/>
    <s v="Equipamentos"/>
    <n v="1674.88"/>
    <s v="Cartão"/>
    <s v="Fernanda"/>
    <n v="15"/>
    <d v="2026-02-22T00:00:00"/>
    <x v="1"/>
    <d v="2026-02-25T00:00:00"/>
    <n v="1674.88"/>
    <n v="0"/>
    <n v="0"/>
    <s v="2026-02"/>
  </r>
  <r>
    <d v="2026-02-07T00:00:00"/>
    <s v="NF-10024"/>
    <s v="Central Materiais"/>
    <s v="Operações"/>
    <s v="Serviços"/>
    <n v="711.28"/>
    <s v="Cartão"/>
    <s v="Fernanda"/>
    <n v="30"/>
    <d v="2026-03-09T00:00:00"/>
    <x v="1"/>
    <d v="2026-03-09T00:00:00"/>
    <n v="711.28"/>
    <n v="0"/>
    <n v="0"/>
    <s v="2026-02"/>
  </r>
  <r>
    <d v="2026-02-08T00:00:00"/>
    <s v="NF-10281"/>
    <s v="Maxi Atacado"/>
    <s v="Comercial"/>
    <s v="Material de Escritório"/>
    <n v="2380.5500000000002"/>
    <s v="Cartão"/>
    <s v="Camila"/>
    <n v="30"/>
    <d v="2026-03-10T00:00:00"/>
    <x v="1"/>
    <d v="2026-03-16T00:00:00"/>
    <n v="2380.5500000000002"/>
    <n v="0"/>
    <n v="0"/>
    <s v="2026-02"/>
  </r>
  <r>
    <d v="2026-02-08T00:00:00"/>
    <s v="NF-10426"/>
    <s v="Jardim Suprimentos"/>
    <s v="Financeiro"/>
    <s v="Consultoria"/>
    <n v="1363.99"/>
    <s v="PIX"/>
    <s v="Ana"/>
    <n v="15"/>
    <d v="2026-02-23T00:00:00"/>
    <x v="0"/>
    <m/>
    <n v="0"/>
    <n v="1363.99"/>
    <n v="0"/>
    <s v="2026-02"/>
  </r>
  <r>
    <d v="2026-02-08T00:00:00"/>
    <s v="NF-10545"/>
    <s v="Beta Distribuidora"/>
    <s v="Financeiro"/>
    <s v="Consultoria"/>
    <n v="851.05"/>
    <s v="Transferência"/>
    <s v="Ana"/>
    <n v="45"/>
    <d v="2026-03-25T00:00:00"/>
    <x v="1"/>
    <d v="2026-03-31T00:00:00"/>
    <n v="851.05"/>
    <n v="0"/>
    <n v="0"/>
    <s v="2026-02"/>
  </r>
  <r>
    <d v="2026-02-08T00:00:00"/>
    <s v="NF-10222"/>
    <s v="Alfa Comércio Ltda."/>
    <s v="Operações"/>
    <s v="Material de Escritório"/>
    <n v="735.36"/>
    <s v="PIX"/>
    <s v="Fernanda"/>
    <n v="30"/>
    <d v="2026-03-10T00:00:00"/>
    <x v="1"/>
    <d v="2026-03-11T00:00:00"/>
    <n v="735.36"/>
    <n v="0"/>
    <n v="0"/>
    <s v="2026-02"/>
  </r>
  <r>
    <d v="2026-02-09T00:00:00"/>
    <s v="NF-10097"/>
    <s v="NovaTech Soluções"/>
    <s v="Comercial"/>
    <s v="Serviços"/>
    <n v="5860.92"/>
    <s v="PIX"/>
    <s v="Bruno"/>
    <n v="15"/>
    <d v="2026-02-24T00:00:00"/>
    <x v="1"/>
    <d v="2026-02-28T00:00:00"/>
    <n v="5860.92"/>
    <n v="0"/>
    <n v="0"/>
    <s v="2026-02"/>
  </r>
  <r>
    <d v="2026-02-10T00:00:00"/>
    <s v="NF-10126"/>
    <s v="Nexus Consultoria"/>
    <s v="Financeiro"/>
    <s v="Software"/>
    <n v="2847.35"/>
    <s v="PIX"/>
    <s v="Ana"/>
    <n v="30"/>
    <d v="2026-03-12T00:00:00"/>
    <x v="0"/>
    <m/>
    <n v="0"/>
    <n v="2847.35"/>
    <n v="0"/>
    <s v="2026-02"/>
  </r>
  <r>
    <d v="2026-02-10T00:00:00"/>
    <s v="NF-10106"/>
    <s v="Sul Center"/>
    <s v="Comercial"/>
    <s v="Material de Escritório"/>
    <n v="916.7"/>
    <s v="Transferência"/>
    <s v="Diego"/>
    <n v="30"/>
    <d v="2026-03-12T00:00:00"/>
    <x v="1"/>
    <d v="2026-03-18T00:00:00"/>
    <n v="916.7"/>
    <n v="0"/>
    <n v="0"/>
    <s v="2026-02"/>
  </r>
  <r>
    <d v="2026-02-11T00:00:00"/>
    <s v="NF-10156"/>
    <s v="Alfa Comércio Ltda."/>
    <s v="Comercial"/>
    <s v="Equipamentos"/>
    <n v="972.84"/>
    <s v="Boleto"/>
    <s v="Lucas"/>
    <n v="15"/>
    <d v="2026-02-26T00:00:00"/>
    <x v="1"/>
    <d v="2026-03-09T00:00:00"/>
    <n v="972.84"/>
    <n v="0"/>
    <n v="0"/>
    <s v="2026-02"/>
  </r>
  <r>
    <d v="2026-02-11T00:00:00"/>
    <s v="NF-10290"/>
    <s v="Central Materiais"/>
    <s v="Comercial"/>
    <s v="Consultoria"/>
    <n v="1239.03"/>
    <s v="PIX"/>
    <s v="Fernanda"/>
    <n v="15"/>
    <d v="2026-02-26T00:00:00"/>
    <x v="1"/>
    <d v="2026-03-04T00:00:00"/>
    <n v="1239.03"/>
    <n v="0"/>
    <n v="0"/>
    <s v="2026-02"/>
  </r>
  <r>
    <d v="2026-02-12T00:00:00"/>
    <s v="NF-10424"/>
    <s v="Capital Empresarial"/>
    <s v="Administrativo"/>
    <s v="Consultoria"/>
    <n v="3585"/>
    <s v="Cartão"/>
    <s v="Fernanda"/>
    <n v="30"/>
    <d v="2026-03-14T00:00:00"/>
    <x v="2"/>
    <m/>
    <n v="0"/>
    <n v="3585"/>
    <n v="163"/>
    <s v="2026-02"/>
  </r>
  <r>
    <d v="2026-02-12T00:00:00"/>
    <s v="NF-10586"/>
    <s v="Central Materiais"/>
    <s v="Comercial"/>
    <s v="Consultoria"/>
    <n v="1245.0999999999999"/>
    <s v="Boleto"/>
    <s v="Lucas"/>
    <n v="30"/>
    <d v="2026-03-14T00:00:00"/>
    <x v="1"/>
    <d v="2026-03-21T00:00:00"/>
    <n v="1245.0999999999999"/>
    <n v="0"/>
    <n v="0"/>
    <s v="2026-02"/>
  </r>
  <r>
    <d v="2026-02-13T00:00:00"/>
    <s v="NF-10086"/>
    <s v="Alfa Comércio Ltda."/>
    <s v="Comercial"/>
    <s v="Software"/>
    <n v="299.57"/>
    <s v="PIX"/>
    <s v="Ana"/>
    <n v="7"/>
    <d v="2026-02-20T00:00:00"/>
    <x v="1"/>
    <d v="2026-02-28T00:00:00"/>
    <n v="299.57"/>
    <n v="0"/>
    <n v="0"/>
    <s v="2026-02"/>
  </r>
  <r>
    <d v="2026-02-13T00:00:00"/>
    <s v="NF-10587"/>
    <s v="Prime Serviços"/>
    <s v="Administrativo"/>
    <s v="Consultoria"/>
    <n v="2032.08"/>
    <s v="Cartão"/>
    <s v="Fernanda"/>
    <n v="45"/>
    <d v="2026-03-30T00:00:00"/>
    <x v="1"/>
    <d v="2026-03-31T00:00:00"/>
    <n v="2032.08"/>
    <n v="0"/>
    <n v="0"/>
    <s v="2026-02"/>
  </r>
  <r>
    <d v="2026-02-13T00:00:00"/>
    <s v="NF-10185"/>
    <s v="Sul Center"/>
    <s v="Operações"/>
    <s v="Material de Escritório"/>
    <n v="4975.7299999999996"/>
    <s v="PIX"/>
    <s v="Lucas"/>
    <n v="30"/>
    <d v="2026-03-15T00:00:00"/>
    <x v="1"/>
    <d v="2026-03-15T00:00:00"/>
    <n v="4975.7299999999996"/>
    <n v="0"/>
    <n v="0"/>
    <s v="2026-02"/>
  </r>
  <r>
    <d v="2026-02-14T00:00:00"/>
    <s v="NF-10178"/>
    <s v="Nexus Consultoria"/>
    <s v="Administrativo"/>
    <s v="Equipamentos"/>
    <n v="2246.29"/>
    <s v="Transferência"/>
    <s v="Bruno"/>
    <n v="45"/>
    <d v="2026-03-31T00:00:00"/>
    <x v="1"/>
    <d v="2026-04-07T00:00:00"/>
    <n v="2246.29"/>
    <n v="0"/>
    <n v="0"/>
    <s v="2026-02"/>
  </r>
  <r>
    <d v="2026-02-14T00:00:00"/>
    <s v="NF-10109"/>
    <s v="Prime Serviços"/>
    <s v="Financeiro"/>
    <s v="Consultoria"/>
    <n v="216.15"/>
    <s v="PIX"/>
    <s v="Diego"/>
    <n v="30"/>
    <d v="2026-03-16T00:00:00"/>
    <x v="1"/>
    <d v="2026-03-16T00:00:00"/>
    <n v="216.15"/>
    <n v="0"/>
    <n v="0"/>
    <s v="2026-02"/>
  </r>
  <r>
    <d v="2026-02-15T00:00:00"/>
    <s v="NF-10392"/>
    <s v="NovaTech Soluções"/>
    <s v="Financeiro"/>
    <s v="Serviços"/>
    <n v="272.04000000000002"/>
    <s v="PIX"/>
    <s v="Bruno"/>
    <n v="45"/>
    <d v="2026-04-01T00:00:00"/>
    <x v="1"/>
    <d v="2026-04-06T00:00:00"/>
    <n v="272.04000000000002"/>
    <n v="0"/>
    <n v="0"/>
    <s v="2026-02"/>
  </r>
  <r>
    <d v="2026-02-15T00:00:00"/>
    <s v="NF-10384"/>
    <s v="Maxi Atacado"/>
    <s v="Operações"/>
    <s v="Software"/>
    <n v="638.1"/>
    <s v="PIX"/>
    <s v="Camila"/>
    <n v="30"/>
    <d v="2026-03-17T00:00:00"/>
    <x v="0"/>
    <m/>
    <n v="0"/>
    <n v="638.1"/>
    <n v="0"/>
    <s v="2026-02"/>
  </r>
  <r>
    <d v="2026-02-15T00:00:00"/>
    <s v="NF-10592"/>
    <s v="Capital Empresarial"/>
    <s v="Financeiro"/>
    <s v="Material de Escritório"/>
    <n v="1409.41"/>
    <s v="PIX"/>
    <s v="Bruno"/>
    <n v="15"/>
    <d v="2026-03-02T00:00:00"/>
    <x v="2"/>
    <m/>
    <n v="0"/>
    <n v="1409.41"/>
    <n v="175"/>
    <s v="2026-02"/>
  </r>
  <r>
    <d v="2026-02-16T00:00:00"/>
    <s v="NF-10537"/>
    <s v="NovaTech Soluções"/>
    <s v="Financeiro"/>
    <s v="Consultoria"/>
    <n v="1278.6500000000001"/>
    <s v="Cartão"/>
    <s v="Camila"/>
    <n v="15"/>
    <d v="2026-03-03T00:00:00"/>
    <x v="1"/>
    <d v="2026-03-04T00:00:00"/>
    <n v="1278.6500000000001"/>
    <n v="0"/>
    <n v="0"/>
    <s v="2026-02"/>
  </r>
  <r>
    <d v="2026-02-16T00:00:00"/>
    <s v="NF-10482"/>
    <s v="Capital Empresarial"/>
    <s v="Financeiro"/>
    <s v="Serviços"/>
    <n v="1542.55"/>
    <s v="PIX"/>
    <s v="Fernanda"/>
    <n v="15"/>
    <d v="2026-03-03T00:00:00"/>
    <x v="0"/>
    <m/>
    <n v="0"/>
    <n v="1542.55"/>
    <n v="0"/>
    <s v="2026-02"/>
  </r>
  <r>
    <d v="2026-02-17T00:00:00"/>
    <s v="NF-10134"/>
    <s v="Alfa Comércio Ltda."/>
    <s v="Comercial"/>
    <s v="Material de Escritório"/>
    <n v="1200.25"/>
    <s v="Transferência"/>
    <s v="Ana"/>
    <n v="30"/>
    <d v="2026-03-19T00:00:00"/>
    <x v="1"/>
    <d v="2026-03-21T00:00:00"/>
    <n v="1200.25"/>
    <n v="0"/>
    <n v="0"/>
    <s v="2026-02"/>
  </r>
  <r>
    <d v="2026-02-17T00:00:00"/>
    <s v="NF-10092"/>
    <s v="Beta Distribuidora"/>
    <s v="Financeiro"/>
    <s v="Serviços"/>
    <n v="2213.91"/>
    <s v="Boleto"/>
    <s v="Fernanda"/>
    <n v="45"/>
    <d v="2026-04-03T00:00:00"/>
    <x v="0"/>
    <m/>
    <n v="0"/>
    <n v="2213.91"/>
    <n v="0"/>
    <s v="2026-02"/>
  </r>
  <r>
    <d v="2026-02-17T00:00:00"/>
    <s v="NF-10375"/>
    <s v="Beta Distribuidora"/>
    <s v="Comercial"/>
    <s v="Serviços"/>
    <n v="1442.38"/>
    <s v="PIX"/>
    <s v="Bruno"/>
    <n v="45"/>
    <d v="2026-04-03T00:00:00"/>
    <x v="0"/>
    <m/>
    <n v="0"/>
    <n v="1442.38"/>
    <n v="0"/>
    <s v="2026-02"/>
  </r>
  <r>
    <d v="2026-02-17T00:00:00"/>
    <s v="NF-10308"/>
    <s v="Central Materiais"/>
    <s v="Financeiro"/>
    <s v="Serviços"/>
    <n v="603.74"/>
    <s v="Cartão"/>
    <s v="Ana"/>
    <n v="15"/>
    <d v="2026-03-04T00:00:00"/>
    <x v="1"/>
    <d v="2026-03-12T00:00:00"/>
    <n v="603.74"/>
    <n v="0"/>
    <n v="0"/>
    <s v="2026-02"/>
  </r>
  <r>
    <d v="2026-02-17T00:00:00"/>
    <s v="NF-10516"/>
    <s v="Beta Distribuidora"/>
    <s v="Administrativo"/>
    <s v="Material de Escritório"/>
    <n v="1235.93"/>
    <s v="Boleto"/>
    <s v="Lucas"/>
    <n v="45"/>
    <d v="2026-04-03T00:00:00"/>
    <x v="1"/>
    <d v="2026-04-06T00:00:00"/>
    <n v="1235.93"/>
    <n v="0"/>
    <n v="0"/>
    <s v="2026-02"/>
  </r>
  <r>
    <d v="2026-02-17T00:00:00"/>
    <s v="NF-10300"/>
    <s v="NovaTech Soluções"/>
    <s v="Operações"/>
    <s v="Material de Escritório"/>
    <n v="1926.49"/>
    <s v="PIX"/>
    <s v="Camila"/>
    <n v="7"/>
    <d v="2026-02-24T00:00:00"/>
    <x v="2"/>
    <m/>
    <n v="0"/>
    <n v="1926.49"/>
    <n v="181"/>
    <s v="2026-02"/>
  </r>
  <r>
    <d v="2026-02-17T00:00:00"/>
    <s v="NF-10344"/>
    <s v="Prime Serviços"/>
    <s v="Administrativo"/>
    <s v="Software"/>
    <n v="977.28"/>
    <s v="Boleto"/>
    <s v="Bruno"/>
    <n v="30"/>
    <d v="2026-03-19T00:00:00"/>
    <x v="2"/>
    <m/>
    <n v="0"/>
    <n v="977.28"/>
    <n v="158"/>
    <s v="2026-02"/>
  </r>
  <r>
    <d v="2026-02-18T00:00:00"/>
    <s v="NF-10034"/>
    <s v="Aparecida Comercial"/>
    <s v="Operações"/>
    <s v="Software"/>
    <n v="3172.98"/>
    <s v="Cartão"/>
    <s v="Fernanda"/>
    <n v="30"/>
    <d v="2026-03-20T00:00:00"/>
    <x v="1"/>
    <d v="2026-03-28T00:00:00"/>
    <n v="3172.98"/>
    <n v="0"/>
    <n v="0"/>
    <s v="2026-02"/>
  </r>
  <r>
    <d v="2026-02-18T00:00:00"/>
    <s v="NF-10463"/>
    <s v="Sul Center"/>
    <s v="Administrativo"/>
    <s v="Software"/>
    <n v="2335.12"/>
    <s v="Transferência"/>
    <s v="Ana"/>
    <n v="30"/>
    <d v="2026-03-20T00:00:00"/>
    <x v="1"/>
    <d v="2026-03-21T00:00:00"/>
    <n v="2335.12"/>
    <n v="0"/>
    <n v="0"/>
    <s v="2026-02"/>
  </r>
  <r>
    <d v="2026-02-18T00:00:00"/>
    <s v="NF-10380"/>
    <s v="Aparecida Comercial"/>
    <s v="Comercial"/>
    <s v="Consultoria"/>
    <n v="3179.94"/>
    <s v="Cartão"/>
    <s v="Lucas"/>
    <n v="30"/>
    <d v="2026-03-20T00:00:00"/>
    <x v="0"/>
    <m/>
    <n v="0"/>
    <n v="3179.94"/>
    <n v="0"/>
    <s v="2026-02"/>
  </r>
  <r>
    <d v="2026-02-19T00:00:00"/>
    <s v="NF-10075"/>
    <s v="NovaTech Soluções"/>
    <s v="Comercial"/>
    <s v="Serviços"/>
    <n v="1439.47"/>
    <s v="Cartão"/>
    <s v="Ana"/>
    <n v="30"/>
    <d v="2026-03-21T00:00:00"/>
    <x v="1"/>
    <d v="2026-03-28T00:00:00"/>
    <n v="1439.47"/>
    <n v="0"/>
    <n v="0"/>
    <s v="2026-02"/>
  </r>
  <r>
    <d v="2026-02-19T00:00:00"/>
    <s v="NF-10430"/>
    <s v="NovaTech Soluções"/>
    <s v="Administrativo"/>
    <s v="Equipamentos"/>
    <n v="776.79"/>
    <s v="Boleto"/>
    <s v="Fernanda"/>
    <n v="30"/>
    <d v="2026-03-21T00:00:00"/>
    <x v="1"/>
    <d v="2026-03-25T00:00:00"/>
    <n v="776.79"/>
    <n v="0"/>
    <n v="0"/>
    <s v="2026-02"/>
  </r>
  <r>
    <d v="2026-02-20T00:00:00"/>
    <s v="NF-10208"/>
    <s v="Nexus Consultoria"/>
    <s v="Administrativo"/>
    <s v="Software"/>
    <n v="484.11"/>
    <s v="Cartão"/>
    <s v="Diego"/>
    <n v="30"/>
    <d v="2026-03-22T00:00:00"/>
    <x v="1"/>
    <d v="2026-03-28T00:00:00"/>
    <n v="484.11"/>
    <n v="0"/>
    <n v="0"/>
    <s v="2026-02"/>
  </r>
  <r>
    <d v="2026-02-20T00:00:00"/>
    <s v="NF-10453"/>
    <s v="Central Materiais"/>
    <s v="Financeiro"/>
    <s v="Material de Escritório"/>
    <n v="567.16"/>
    <s v="Transferência"/>
    <s v="Lucas"/>
    <n v="30"/>
    <d v="2026-03-22T00:00:00"/>
    <x v="1"/>
    <d v="2026-04-02T00:00:00"/>
    <n v="567.16"/>
    <n v="0"/>
    <n v="0"/>
    <s v="2026-02"/>
  </r>
  <r>
    <d v="2026-02-20T00:00:00"/>
    <s v="NF-10044"/>
    <s v="Goiás Office"/>
    <s v="Administrativo"/>
    <s v="Software"/>
    <n v="1774.95"/>
    <s v="Cartão"/>
    <s v="Fernanda"/>
    <n v="15"/>
    <d v="2026-03-07T00:00:00"/>
    <x v="0"/>
    <m/>
    <n v="0"/>
    <n v="1774.95"/>
    <n v="0"/>
    <s v="2026-02"/>
  </r>
  <r>
    <d v="2026-02-20T00:00:00"/>
    <s v="NF-10049"/>
    <s v="Goiás Office"/>
    <s v="Comercial"/>
    <s v="Software"/>
    <n v="7378.36"/>
    <s v="Transferência"/>
    <s v="Ana"/>
    <n v="15"/>
    <d v="2026-03-07T00:00:00"/>
    <x v="1"/>
    <d v="2026-03-15T00:00:00"/>
    <n v="7378.36"/>
    <n v="0"/>
    <n v="0"/>
    <s v="2026-02"/>
  </r>
  <r>
    <d v="2026-02-20T00:00:00"/>
    <s v="NF-10362"/>
    <s v="Capital Empresarial"/>
    <s v="Operações"/>
    <s v="Material de Escritório"/>
    <n v="2314.5500000000002"/>
    <s v="Transferência"/>
    <s v="Fernanda"/>
    <n v="30"/>
    <d v="2026-03-22T00:00:00"/>
    <x v="0"/>
    <m/>
    <n v="0"/>
    <n v="2314.5500000000002"/>
    <n v="0"/>
    <s v="2026-02"/>
  </r>
  <r>
    <d v="2026-02-21T00:00:00"/>
    <s v="NF-10162"/>
    <s v="Aparecida Comercial"/>
    <s v="Financeiro"/>
    <s v="Serviços"/>
    <n v="1916.7"/>
    <s v="Transferência"/>
    <s v="Camila"/>
    <n v="15"/>
    <d v="2026-03-08T00:00:00"/>
    <x v="1"/>
    <d v="2026-03-18T00:00:00"/>
    <n v="1916.7"/>
    <n v="0"/>
    <n v="0"/>
    <s v="2026-02"/>
  </r>
  <r>
    <d v="2026-02-21T00:00:00"/>
    <s v="NF-10277"/>
    <s v="Jardim Suprimentos"/>
    <s v="Comercial"/>
    <s v="Equipamentos"/>
    <n v="1325.23"/>
    <s v="Cartão"/>
    <s v="Fernanda"/>
    <n v="30"/>
    <d v="2026-03-23T00:00:00"/>
    <x v="1"/>
    <d v="2026-03-28T00:00:00"/>
    <n v="1325.23"/>
    <n v="0"/>
    <n v="0"/>
    <s v="2026-02"/>
  </r>
  <r>
    <d v="2026-02-21T00:00:00"/>
    <s v="NF-10220"/>
    <s v="Jardim Suprimentos"/>
    <s v="Comercial"/>
    <s v="Software"/>
    <n v="673.5"/>
    <s v="PIX"/>
    <s v="Fernanda"/>
    <n v="30"/>
    <d v="2026-03-23T00:00:00"/>
    <x v="1"/>
    <d v="2026-04-01T00:00:00"/>
    <n v="673.5"/>
    <n v="0"/>
    <n v="0"/>
    <s v="2026-02"/>
  </r>
  <r>
    <d v="2026-02-21T00:00:00"/>
    <s v="NF-10486"/>
    <s v="Central Materiais"/>
    <s v="Comercial"/>
    <s v="Serviços"/>
    <n v="11109.11"/>
    <s v="Boleto"/>
    <s v="Diego"/>
    <n v="45"/>
    <d v="2026-04-07T00:00:00"/>
    <x v="1"/>
    <d v="2026-04-08T00:00:00"/>
    <n v="11109.11"/>
    <n v="0"/>
    <n v="0"/>
    <s v="2026-02"/>
  </r>
  <r>
    <d v="2026-02-22T00:00:00"/>
    <s v="NF-10020"/>
    <s v="Nexus Consultoria"/>
    <s v="Comercial"/>
    <s v="Serviços"/>
    <n v="1651.8"/>
    <s v="Cartão"/>
    <s v="Fernanda"/>
    <n v="30"/>
    <d v="2026-03-24T00:00:00"/>
    <x v="1"/>
    <d v="2026-03-27T00:00:00"/>
    <n v="1651.8"/>
    <n v="0"/>
    <n v="0"/>
    <s v="2026-02"/>
  </r>
  <r>
    <d v="2026-02-22T00:00:00"/>
    <s v="NF-10240"/>
    <s v="NovaTech Soluções"/>
    <s v="Comercial"/>
    <s v="Equipamentos"/>
    <n v="995.18"/>
    <s v="PIX"/>
    <s v="Camila"/>
    <n v="30"/>
    <d v="2026-03-24T00:00:00"/>
    <x v="1"/>
    <d v="2026-03-27T00:00:00"/>
    <n v="995.18"/>
    <n v="0"/>
    <n v="0"/>
    <s v="2026-02"/>
  </r>
  <r>
    <d v="2026-02-22T00:00:00"/>
    <s v="NF-10101"/>
    <s v="Alfa Comércio Ltda."/>
    <s v="Operações"/>
    <s v="Material de Escritório"/>
    <n v="547.38"/>
    <s v="Boleto"/>
    <s v="Camila"/>
    <n v="30"/>
    <d v="2026-03-24T00:00:00"/>
    <x v="1"/>
    <d v="2026-04-03T00:00:00"/>
    <n v="547.38"/>
    <n v="0"/>
    <n v="0"/>
    <s v="2026-02"/>
  </r>
  <r>
    <d v="2026-02-22T00:00:00"/>
    <s v="NF-10061"/>
    <s v="Sul Center"/>
    <s v="Comercial"/>
    <s v="Equipamentos"/>
    <n v="594.27"/>
    <s v="PIX"/>
    <s v="Lucas"/>
    <n v="15"/>
    <d v="2026-03-09T00:00:00"/>
    <x v="1"/>
    <d v="2026-03-19T00:00:00"/>
    <n v="594.27"/>
    <n v="0"/>
    <n v="0"/>
    <s v="2026-02"/>
  </r>
  <r>
    <d v="2026-02-22T00:00:00"/>
    <s v="NF-10472"/>
    <s v="Capital Empresarial"/>
    <s v="Financeiro"/>
    <s v="Equipamentos"/>
    <n v="3951.64"/>
    <s v="Boleto"/>
    <s v="Camila"/>
    <n v="15"/>
    <d v="2026-03-09T00:00:00"/>
    <x v="1"/>
    <d v="2026-03-16T00:00:00"/>
    <n v="3951.64"/>
    <n v="0"/>
    <n v="0"/>
    <s v="2026-02"/>
  </r>
  <r>
    <d v="2026-02-23T00:00:00"/>
    <s v="NF-10405"/>
    <s v="Sul Center"/>
    <s v="Comercial"/>
    <s v="Equipamentos"/>
    <n v="1812.09"/>
    <s v="Transferência"/>
    <s v="Lucas"/>
    <n v="15"/>
    <d v="2026-03-10T00:00:00"/>
    <x v="0"/>
    <m/>
    <n v="0"/>
    <n v="1812.09"/>
    <n v="0"/>
    <s v="2026-02"/>
  </r>
  <r>
    <d v="2026-02-23T00:00:00"/>
    <s v="NF-10313"/>
    <s v="NovaTech Soluções"/>
    <s v="Operações"/>
    <s v="Equipamentos"/>
    <n v="4068.2"/>
    <s v="PIX"/>
    <s v="Lucas"/>
    <n v="30"/>
    <d v="2026-03-25T00:00:00"/>
    <x v="1"/>
    <d v="2026-04-03T00:00:00"/>
    <n v="4068.2"/>
    <n v="0"/>
    <n v="0"/>
    <s v="2026-02"/>
  </r>
  <r>
    <d v="2026-02-23T00:00:00"/>
    <s v="NF-10334"/>
    <s v="Capital Empresarial"/>
    <s v="Administrativo"/>
    <s v="Equipamentos"/>
    <n v="263.44"/>
    <s v="Boleto"/>
    <s v="Diego"/>
    <n v="30"/>
    <d v="2026-03-25T00:00:00"/>
    <x v="1"/>
    <d v="2026-03-31T00:00:00"/>
    <n v="263.44"/>
    <n v="0"/>
    <n v="0"/>
    <s v="2026-02"/>
  </r>
  <r>
    <d v="2026-02-23T00:00:00"/>
    <s v="NF-10080"/>
    <s v="Beta Distribuidora"/>
    <s v="Comercial"/>
    <s v="Software"/>
    <n v="2720.79"/>
    <s v="Transferência"/>
    <s v="Lucas"/>
    <n v="30"/>
    <d v="2026-03-25T00:00:00"/>
    <x v="1"/>
    <d v="2026-04-01T00:00:00"/>
    <n v="2720.79"/>
    <n v="0"/>
    <n v="0"/>
    <s v="2026-02"/>
  </r>
  <r>
    <d v="2026-02-23T00:00:00"/>
    <s v="NF-10083"/>
    <s v="Capital Empresarial"/>
    <s v="Administrativo"/>
    <s v="Software"/>
    <n v="787.35"/>
    <s v="Transferência"/>
    <s v="Diego"/>
    <n v="30"/>
    <d v="2026-03-25T00:00:00"/>
    <x v="1"/>
    <d v="2026-03-26T00:00:00"/>
    <n v="787.35"/>
    <n v="0"/>
    <n v="0"/>
    <s v="2026-02"/>
  </r>
  <r>
    <d v="2026-02-23T00:00:00"/>
    <s v="NF-10234"/>
    <s v="Prime Serviços"/>
    <s v="Operações"/>
    <s v="Serviços"/>
    <n v="565.01"/>
    <s v="Transferência"/>
    <s v="Bruno"/>
    <n v="30"/>
    <d v="2026-03-25T00:00:00"/>
    <x v="1"/>
    <d v="2026-04-05T00:00:00"/>
    <n v="565.01"/>
    <n v="0"/>
    <n v="0"/>
    <s v="2026-02"/>
  </r>
  <r>
    <d v="2026-02-23T00:00:00"/>
    <s v="NF-10468"/>
    <s v="Goiás Office"/>
    <s v="Comercial"/>
    <s v="Consultoria"/>
    <n v="853.19"/>
    <s v="Boleto"/>
    <s v="Lucas"/>
    <n v="30"/>
    <d v="2026-03-25T00:00:00"/>
    <x v="2"/>
    <m/>
    <n v="0"/>
    <n v="853.19"/>
    <n v="152"/>
    <s v="2026-02"/>
  </r>
  <r>
    <d v="2026-02-24T00:00:00"/>
    <s v="NF-10484"/>
    <s v="NovaTech Soluções"/>
    <s v="Comercial"/>
    <s v="Consultoria"/>
    <n v="383.32"/>
    <s v="Transferência"/>
    <s v="Fernanda"/>
    <n v="7"/>
    <d v="2026-03-03T00:00:00"/>
    <x v="1"/>
    <d v="2026-03-13T00:00:00"/>
    <n v="383.32"/>
    <n v="0"/>
    <n v="0"/>
    <s v="2026-02"/>
  </r>
  <r>
    <d v="2026-02-24T00:00:00"/>
    <s v="NF-10046"/>
    <s v="Central Materiais"/>
    <s v="Comercial"/>
    <s v="Software"/>
    <n v="705.14"/>
    <s v="Transferência"/>
    <s v="Camila"/>
    <n v="45"/>
    <d v="2026-04-10T00:00:00"/>
    <x v="0"/>
    <m/>
    <n v="0"/>
    <n v="705.14"/>
    <n v="0"/>
    <s v="2026-02"/>
  </r>
  <r>
    <d v="2026-02-26T00:00:00"/>
    <s v="NF-10436"/>
    <s v="Prime Serviços"/>
    <s v="Operações"/>
    <s v="Material de Escritório"/>
    <n v="983.77"/>
    <s v="PIX"/>
    <s v="Diego"/>
    <n v="15"/>
    <d v="2026-03-13T00:00:00"/>
    <x v="1"/>
    <d v="2026-03-19T00:00:00"/>
    <n v="983.77"/>
    <n v="0"/>
    <n v="0"/>
    <s v="2026-02"/>
  </r>
  <r>
    <d v="2026-02-27T00:00:00"/>
    <s v="NF-10461"/>
    <s v="Prime Serviços"/>
    <s v="Financeiro"/>
    <s v="Serviços"/>
    <n v="1933.58"/>
    <s v="Cartão"/>
    <s v="Ana"/>
    <n v="30"/>
    <d v="2026-03-29T00:00:00"/>
    <x v="2"/>
    <m/>
    <n v="0"/>
    <n v="1933.58"/>
    <n v="148"/>
    <s v="2026-02"/>
  </r>
  <r>
    <d v="2026-02-27T00:00:00"/>
    <s v="NF-10460"/>
    <s v="Nexus Consultoria"/>
    <s v="Operações"/>
    <s v="Software"/>
    <n v="954.1"/>
    <s v="Boleto"/>
    <s v="Ana"/>
    <n v="7"/>
    <d v="2026-03-06T00:00:00"/>
    <x v="1"/>
    <d v="2026-03-06T00:00:00"/>
    <n v="954.1"/>
    <n v="0"/>
    <n v="0"/>
    <s v="2026-02"/>
  </r>
  <r>
    <d v="2026-02-27T00:00:00"/>
    <s v="NF-10031"/>
    <s v="Maxi Atacado"/>
    <s v="Comercial"/>
    <s v="Software"/>
    <n v="1530.37"/>
    <s v="Cartão"/>
    <s v="Camila"/>
    <n v="7"/>
    <d v="2026-03-06T00:00:00"/>
    <x v="0"/>
    <m/>
    <n v="0"/>
    <n v="1530.37"/>
    <n v="0"/>
    <s v="2026-02"/>
  </r>
  <r>
    <d v="2026-02-27T00:00:00"/>
    <s v="NF-10406"/>
    <s v="Central Materiais"/>
    <s v="Administrativo"/>
    <s v="Equipamentos"/>
    <n v="732.28"/>
    <s v="Boleto"/>
    <s v="Fernanda"/>
    <n v="45"/>
    <d v="2026-04-13T00:00:00"/>
    <x v="0"/>
    <m/>
    <n v="0"/>
    <n v="732.28"/>
    <n v="0"/>
    <s v="2026-02"/>
  </r>
  <r>
    <d v="2026-02-27T00:00:00"/>
    <s v="NF-10499"/>
    <s v="Nexus Consultoria"/>
    <s v="Operações"/>
    <s v="Software"/>
    <n v="1716.76"/>
    <s v="PIX"/>
    <s v="Fernanda"/>
    <n v="45"/>
    <d v="2026-04-13T00:00:00"/>
    <x v="0"/>
    <m/>
    <n v="0"/>
    <n v="1716.76"/>
    <n v="0"/>
    <s v="2026-02"/>
  </r>
  <r>
    <d v="2026-02-27T00:00:00"/>
    <s v="NF-10509"/>
    <s v="Prime Serviços"/>
    <s v="Financeiro"/>
    <s v="Serviços"/>
    <n v="2701.88"/>
    <s v="Transferência"/>
    <s v="Lucas"/>
    <n v="7"/>
    <d v="2026-03-06T00:00:00"/>
    <x v="1"/>
    <d v="2026-03-14T00:00:00"/>
    <n v="2701.88"/>
    <n v="0"/>
    <n v="0"/>
    <s v="2026-02"/>
  </r>
  <r>
    <d v="2026-02-28T00:00:00"/>
    <s v="NF-10035"/>
    <s v="Sul Center"/>
    <s v="Comercial"/>
    <s v="Software"/>
    <n v="1572.73"/>
    <s v="Boleto"/>
    <s v="Ana"/>
    <n v="15"/>
    <d v="2026-03-15T00:00:00"/>
    <x v="2"/>
    <m/>
    <n v="0"/>
    <n v="1572.73"/>
    <n v="162"/>
    <s v="2026-02"/>
  </r>
  <r>
    <d v="2026-02-28T00:00:00"/>
    <s v="NF-10212"/>
    <s v="Beta Distribuidora"/>
    <s v="Financeiro"/>
    <s v="Software"/>
    <n v="1259.96"/>
    <s v="Boleto"/>
    <s v="Diego"/>
    <n v="15"/>
    <d v="2026-03-15T00:00:00"/>
    <x v="2"/>
    <m/>
    <n v="0"/>
    <n v="1259.96"/>
    <n v="162"/>
    <s v="2026-02"/>
  </r>
  <r>
    <d v="2026-03-01T00:00:00"/>
    <s v="NF-10057"/>
    <s v="NovaTech Soluções"/>
    <s v="Comercial"/>
    <s v="Material de Escritório"/>
    <n v="2964.01"/>
    <s v="PIX"/>
    <s v="Ana"/>
    <n v="15"/>
    <d v="2026-03-16T00:00:00"/>
    <x v="1"/>
    <d v="2026-03-21T00:00:00"/>
    <n v="2964.01"/>
    <n v="0"/>
    <n v="0"/>
    <s v="2026-03"/>
  </r>
  <r>
    <d v="2026-03-01T00:00:00"/>
    <s v="NF-10473"/>
    <s v="Prime Serviços"/>
    <s v="Comercial"/>
    <s v="Consultoria"/>
    <n v="3696.86"/>
    <s v="Cartão"/>
    <s v="Diego"/>
    <n v="15"/>
    <d v="2026-03-16T00:00:00"/>
    <x v="1"/>
    <d v="2026-03-20T00:00:00"/>
    <n v="3696.86"/>
    <n v="0"/>
    <n v="0"/>
    <s v="2026-03"/>
  </r>
  <r>
    <d v="2026-03-01T00:00:00"/>
    <s v="NF-10434"/>
    <s v="Prime Serviços"/>
    <s v="Comercial"/>
    <s v="Serviços"/>
    <n v="1023.61"/>
    <s v="Boleto"/>
    <s v="Diego"/>
    <n v="30"/>
    <d v="2026-03-31T00:00:00"/>
    <x v="1"/>
    <d v="2026-04-11T00:00:00"/>
    <n v="1023.61"/>
    <n v="0"/>
    <n v="0"/>
    <s v="2026-03"/>
  </r>
  <r>
    <d v="2026-03-01T00:00:00"/>
    <s v="NF-10296"/>
    <s v="Aparecida Comercial"/>
    <s v="Operações"/>
    <s v="Equipamentos"/>
    <n v="2051.13"/>
    <s v="Cartão"/>
    <s v="Lucas"/>
    <n v="15"/>
    <d v="2026-03-16T00:00:00"/>
    <x v="1"/>
    <d v="2026-03-26T00:00:00"/>
    <n v="2051.13"/>
    <n v="0"/>
    <n v="0"/>
    <s v="2026-03"/>
  </r>
  <r>
    <d v="2026-03-02T00:00:00"/>
    <s v="NF-10374"/>
    <s v="Nexus Consultoria"/>
    <s v="Comercial"/>
    <s v="Software"/>
    <n v="2435.33"/>
    <s v="Boleto"/>
    <s v="Fernanda"/>
    <n v="7"/>
    <d v="2026-03-09T00:00:00"/>
    <x v="0"/>
    <m/>
    <n v="0"/>
    <n v="2435.33"/>
    <n v="0"/>
    <s v="2026-03"/>
  </r>
  <r>
    <d v="2026-03-03T00:00:00"/>
    <s v="NF-10503"/>
    <s v="NovaTech Soluções"/>
    <s v="Comercial"/>
    <s v="Serviços"/>
    <n v="2504.91"/>
    <s v="Boleto"/>
    <s v="Lucas"/>
    <n v="7"/>
    <d v="2026-03-10T00:00:00"/>
    <x v="2"/>
    <m/>
    <n v="0"/>
    <n v="2504.91"/>
    <n v="167"/>
    <s v="2026-03"/>
  </r>
  <r>
    <d v="2026-03-03T00:00:00"/>
    <s v="NF-10218"/>
    <s v="Prime Serviços"/>
    <s v="Operações"/>
    <s v="Serviços"/>
    <n v="1670.83"/>
    <s v="Transferência"/>
    <s v="Lucas"/>
    <n v="15"/>
    <d v="2026-03-18T00:00:00"/>
    <x v="1"/>
    <d v="2026-03-21T00:00:00"/>
    <n v="1670.83"/>
    <n v="0"/>
    <n v="0"/>
    <s v="2026-03"/>
  </r>
  <r>
    <d v="2026-03-03T00:00:00"/>
    <s v="NF-10206"/>
    <s v="NovaTech Soluções"/>
    <s v="Comercial"/>
    <s v="Material de Escritório"/>
    <n v="602.62"/>
    <s v="Boleto"/>
    <s v="Diego"/>
    <n v="7"/>
    <d v="2026-03-10T00:00:00"/>
    <x v="1"/>
    <d v="2026-03-19T00:00:00"/>
    <n v="602.62"/>
    <n v="0"/>
    <n v="0"/>
    <s v="2026-03"/>
  </r>
  <r>
    <d v="2026-03-03T00:00:00"/>
    <s v="NF-10136"/>
    <s v="Nexus Consultoria"/>
    <s v="Administrativo"/>
    <s v="Consultoria"/>
    <n v="2233.96"/>
    <s v="Boleto"/>
    <s v="Fernanda"/>
    <n v="7"/>
    <d v="2026-03-10T00:00:00"/>
    <x v="2"/>
    <m/>
    <n v="0"/>
    <n v="2233.96"/>
    <n v="167"/>
    <s v="2026-03"/>
  </r>
  <r>
    <d v="2026-03-03T00:00:00"/>
    <s v="NF-10179"/>
    <s v="Capital Empresarial"/>
    <s v="Financeiro"/>
    <s v="Equipamentos"/>
    <n v="2266.11"/>
    <s v="Cartão"/>
    <s v="Diego"/>
    <n v="7"/>
    <d v="2026-03-10T00:00:00"/>
    <x v="0"/>
    <m/>
    <n v="0"/>
    <n v="2266.11"/>
    <n v="0"/>
    <s v="2026-03"/>
  </r>
  <r>
    <d v="2026-03-04T00:00:00"/>
    <s v="NF-10117"/>
    <s v="Capital Empresarial"/>
    <s v="Financeiro"/>
    <s v="Material de Escritório"/>
    <n v="1069.6099999999999"/>
    <s v="PIX"/>
    <s v="Lucas"/>
    <n v="45"/>
    <d v="2026-04-18T00:00:00"/>
    <x v="1"/>
    <d v="2026-04-18T00:00:00"/>
    <n v="1069.6099999999999"/>
    <n v="0"/>
    <n v="0"/>
    <s v="2026-03"/>
  </r>
  <r>
    <d v="2026-03-04T00:00:00"/>
    <s v="NF-10456"/>
    <s v="Central Materiais"/>
    <s v="Comercial"/>
    <s v="Software"/>
    <n v="1496.73"/>
    <s v="Cartão"/>
    <s v="Camila"/>
    <n v="30"/>
    <d v="2026-04-03T00:00:00"/>
    <x v="1"/>
    <d v="2026-04-09T00:00:00"/>
    <n v="1496.73"/>
    <n v="0"/>
    <n v="0"/>
    <s v="2026-03"/>
  </r>
  <r>
    <d v="2026-03-04T00:00:00"/>
    <s v="NF-10160"/>
    <s v="Prime Serviços"/>
    <s v="Operações"/>
    <s v="Equipamentos"/>
    <n v="5502.35"/>
    <s v="PIX"/>
    <s v="Fernanda"/>
    <n v="30"/>
    <d v="2026-04-03T00:00:00"/>
    <x v="1"/>
    <d v="2026-04-10T00:00:00"/>
    <n v="5502.35"/>
    <n v="0"/>
    <n v="0"/>
    <s v="2026-03"/>
  </r>
  <r>
    <d v="2026-03-04T00:00:00"/>
    <s v="NF-10496"/>
    <s v="Capital Empresarial"/>
    <s v="Financeiro"/>
    <s v="Software"/>
    <n v="5280.26"/>
    <s v="Cartão"/>
    <s v="Ana"/>
    <n v="15"/>
    <d v="2026-03-19T00:00:00"/>
    <x v="0"/>
    <m/>
    <n v="0"/>
    <n v="5280.26"/>
    <n v="0"/>
    <s v="2026-03"/>
  </r>
  <r>
    <d v="2026-03-05T00:00:00"/>
    <s v="NF-10047"/>
    <s v="Maxi Atacado"/>
    <s v="Financeiro"/>
    <s v="Equipamentos"/>
    <n v="3520.6"/>
    <s v="Transferência"/>
    <s v="Bruno"/>
    <n v="45"/>
    <d v="2026-04-19T00:00:00"/>
    <x v="1"/>
    <d v="2026-04-20T00:00:00"/>
    <n v="3520.6"/>
    <n v="0"/>
    <n v="0"/>
    <s v="2026-03"/>
  </r>
  <r>
    <d v="2026-03-06T00:00:00"/>
    <s v="NF-10440"/>
    <s v="Jardim Suprimentos"/>
    <s v="Operações"/>
    <s v="Consultoria"/>
    <n v="764.84"/>
    <s v="Boleto"/>
    <s v="Fernanda"/>
    <n v="15"/>
    <d v="2026-03-21T00:00:00"/>
    <x v="1"/>
    <d v="2026-03-27T00:00:00"/>
    <n v="764.84"/>
    <n v="0"/>
    <n v="0"/>
    <s v="2026-03"/>
  </r>
  <r>
    <d v="2026-03-06T00:00:00"/>
    <s v="NF-10582"/>
    <s v="NovaTech Soluções"/>
    <s v="Financeiro"/>
    <s v="Software"/>
    <n v="2684.49"/>
    <s v="Cartão"/>
    <s v="Bruno"/>
    <n v="30"/>
    <d v="2026-04-05T00:00:00"/>
    <x v="2"/>
    <m/>
    <n v="0"/>
    <n v="2684.49"/>
    <n v="141"/>
    <s v="2026-03"/>
  </r>
  <r>
    <d v="2026-03-06T00:00:00"/>
    <s v="NF-10110"/>
    <s v="Maxi Atacado"/>
    <s v="Comercial"/>
    <s v="Consultoria"/>
    <n v="2102.7600000000002"/>
    <s v="Transferência"/>
    <s v="Camila"/>
    <n v="15"/>
    <d v="2026-03-21T00:00:00"/>
    <x v="1"/>
    <d v="2026-03-22T00:00:00"/>
    <n v="2102.7600000000002"/>
    <n v="0"/>
    <n v="0"/>
    <s v="2026-03"/>
  </r>
  <r>
    <d v="2026-03-07T00:00:00"/>
    <s v="NF-10176"/>
    <s v="Central Materiais"/>
    <s v="Comercial"/>
    <s v="Serviços"/>
    <n v="1456.07"/>
    <s v="Transferência"/>
    <s v="Bruno"/>
    <n v="30"/>
    <d v="2026-04-06T00:00:00"/>
    <x v="1"/>
    <d v="2026-04-12T00:00:00"/>
    <n v="1456.07"/>
    <n v="0"/>
    <n v="0"/>
    <s v="2026-03"/>
  </r>
  <r>
    <d v="2026-03-07T00:00:00"/>
    <s v="NF-10449"/>
    <s v="Central Materiais"/>
    <s v="Financeiro"/>
    <s v="Software"/>
    <n v="2599.1799999999998"/>
    <s v="Cartão"/>
    <s v="Diego"/>
    <n v="7"/>
    <d v="2026-03-14T00:00:00"/>
    <x v="1"/>
    <d v="2026-03-19T00:00:00"/>
    <n v="2599.1799999999998"/>
    <n v="0"/>
    <n v="0"/>
    <s v="2026-03"/>
  </r>
  <r>
    <d v="2026-03-08T00:00:00"/>
    <s v="NF-10581"/>
    <s v="Alfa Comércio Ltda."/>
    <s v="Financeiro"/>
    <s v="Consultoria"/>
    <n v="1476.22"/>
    <s v="Boleto"/>
    <s v="Fernanda"/>
    <n v="15"/>
    <d v="2026-03-23T00:00:00"/>
    <x v="1"/>
    <d v="2026-03-24T00:00:00"/>
    <n v="1476.22"/>
    <n v="0"/>
    <n v="0"/>
    <s v="2026-03"/>
  </r>
  <r>
    <d v="2026-03-08T00:00:00"/>
    <s v="NF-10407"/>
    <s v="Capital Empresarial"/>
    <s v="Operações"/>
    <s v="Material de Escritório"/>
    <n v="329.82"/>
    <s v="PIX"/>
    <s v="Camila"/>
    <n v="7"/>
    <d v="2026-03-15T00:00:00"/>
    <x v="0"/>
    <m/>
    <n v="0"/>
    <n v="329.82"/>
    <n v="0"/>
    <s v="2026-03"/>
  </r>
  <r>
    <d v="2026-03-08T00:00:00"/>
    <s v="NF-10401"/>
    <s v="Maxi Atacado"/>
    <s v="Comercial"/>
    <s v="Software"/>
    <n v="1200.83"/>
    <s v="Boleto"/>
    <s v="Diego"/>
    <n v="45"/>
    <d v="2026-04-22T00:00:00"/>
    <x v="0"/>
    <m/>
    <n v="0"/>
    <n v="1200.83"/>
    <n v="0"/>
    <s v="2026-03"/>
  </r>
  <r>
    <d v="2026-03-09T00:00:00"/>
    <s v="NF-10245"/>
    <s v="NovaTech Soluções"/>
    <s v="Comercial"/>
    <s v="Software"/>
    <n v="1200.17"/>
    <s v="Cartão"/>
    <s v="Camila"/>
    <n v="15"/>
    <d v="2026-03-24T00:00:00"/>
    <x v="1"/>
    <d v="2026-03-30T00:00:00"/>
    <n v="1200.17"/>
    <n v="0"/>
    <n v="0"/>
    <s v="2026-03"/>
  </r>
  <r>
    <d v="2026-03-09T00:00:00"/>
    <s v="NF-10340"/>
    <s v="Maxi Atacado"/>
    <s v="Comercial"/>
    <s v="Software"/>
    <n v="6733.86"/>
    <s v="Cartão"/>
    <s v="Ana"/>
    <n v="30"/>
    <d v="2026-04-08T00:00:00"/>
    <x v="1"/>
    <d v="2026-04-14T00:00:00"/>
    <n v="6733.86"/>
    <n v="0"/>
    <n v="0"/>
    <s v="2026-03"/>
  </r>
  <r>
    <d v="2026-03-10T00:00:00"/>
    <s v="NF-10551"/>
    <s v="Prime Serviços"/>
    <s v="Administrativo"/>
    <s v="Consultoria"/>
    <n v="545.19000000000005"/>
    <s v="Transferência"/>
    <s v="Lucas"/>
    <n v="7"/>
    <d v="2026-03-17T00:00:00"/>
    <x v="0"/>
    <m/>
    <n v="0"/>
    <n v="545.19000000000005"/>
    <n v="0"/>
    <s v="2026-03"/>
  </r>
  <r>
    <d v="2026-03-10T00:00:00"/>
    <s v="NF-10253"/>
    <s v="Beta Distribuidora"/>
    <s v="Comercial"/>
    <s v="Material de Escritório"/>
    <n v="1717.43"/>
    <s v="Cartão"/>
    <s v="Fernanda"/>
    <n v="15"/>
    <d v="2026-03-25T00:00:00"/>
    <x v="1"/>
    <d v="2026-03-28T00:00:00"/>
    <n v="1717.43"/>
    <n v="0"/>
    <n v="0"/>
    <s v="2026-03"/>
  </r>
  <r>
    <d v="2026-03-10T00:00:00"/>
    <s v="NF-10536"/>
    <s v="NovaTech Soluções"/>
    <s v="Administrativo"/>
    <s v="Equipamentos"/>
    <n v="627.72"/>
    <s v="Boleto"/>
    <s v="Camila"/>
    <n v="30"/>
    <d v="2026-04-09T00:00:00"/>
    <x v="1"/>
    <d v="2026-04-14T00:00:00"/>
    <n v="627.72"/>
    <n v="0"/>
    <n v="0"/>
    <s v="2026-03"/>
  </r>
  <r>
    <d v="2026-03-10T00:00:00"/>
    <s v="NF-10524"/>
    <s v="Goiás Office"/>
    <s v="Operações"/>
    <s v="Serviços"/>
    <n v="1159.04"/>
    <s v="PIX"/>
    <s v="Fernanda"/>
    <n v="30"/>
    <d v="2026-04-09T00:00:00"/>
    <x v="1"/>
    <d v="2026-04-10T00:00:00"/>
    <n v="1159.04"/>
    <n v="0"/>
    <n v="0"/>
    <s v="2026-03"/>
  </r>
  <r>
    <d v="2026-03-10T00:00:00"/>
    <s v="NF-10560"/>
    <s v="NovaTech Soluções"/>
    <s v="Administrativo"/>
    <s v="Equipamentos"/>
    <n v="259.75"/>
    <s v="PIX"/>
    <s v="Fernanda"/>
    <n v="30"/>
    <d v="2026-04-09T00:00:00"/>
    <x v="2"/>
    <m/>
    <n v="0"/>
    <n v="259.75"/>
    <n v="137"/>
    <s v="2026-03"/>
  </r>
  <r>
    <d v="2026-03-11T00:00:00"/>
    <s v="NF-10466"/>
    <s v="Nexus Consultoria"/>
    <s v="Comercial"/>
    <s v="Equipamentos"/>
    <n v="1183.97"/>
    <s v="Transferência"/>
    <s v="Bruno"/>
    <n v="30"/>
    <d v="2026-04-10T00:00:00"/>
    <x v="1"/>
    <d v="2026-04-12T00:00:00"/>
    <n v="1183.97"/>
    <n v="0"/>
    <n v="0"/>
    <s v="2026-03"/>
  </r>
  <r>
    <d v="2026-03-11T00:00:00"/>
    <s v="NF-10263"/>
    <s v="Jardim Suprimentos"/>
    <s v="Administrativo"/>
    <s v="Consultoria"/>
    <n v="957.97"/>
    <s v="Boleto"/>
    <s v="Lucas"/>
    <n v="30"/>
    <d v="2026-04-10T00:00:00"/>
    <x v="1"/>
    <d v="2026-04-12T00:00:00"/>
    <n v="957.97"/>
    <n v="0"/>
    <n v="0"/>
    <s v="2026-03"/>
  </r>
  <r>
    <d v="2026-03-12T00:00:00"/>
    <s v="NF-10112"/>
    <s v="Maxi Atacado"/>
    <s v="Operações"/>
    <s v="Serviços"/>
    <n v="2418.71"/>
    <s v="Transferência"/>
    <s v="Camila"/>
    <n v="30"/>
    <d v="2026-04-11T00:00:00"/>
    <x v="1"/>
    <d v="2026-04-14T00:00:00"/>
    <n v="2418.71"/>
    <n v="0"/>
    <n v="0"/>
    <s v="2026-03"/>
  </r>
  <r>
    <d v="2026-03-12T00:00:00"/>
    <s v="NF-10172"/>
    <s v="NovaTech Soluções"/>
    <s v="Comercial"/>
    <s v="Consultoria"/>
    <n v="1100.3599999999999"/>
    <s v="PIX"/>
    <s v="Bruno"/>
    <n v="15"/>
    <d v="2026-03-27T00:00:00"/>
    <x v="1"/>
    <d v="2026-03-30T00:00:00"/>
    <n v="1100.3599999999999"/>
    <n v="0"/>
    <n v="0"/>
    <s v="2026-03"/>
  </r>
  <r>
    <d v="2026-03-13T00:00:00"/>
    <s v="NF-10005"/>
    <s v="Aparecida Comercial"/>
    <s v="Comercial"/>
    <s v="Serviços"/>
    <n v="1337.17"/>
    <s v="Cartão"/>
    <s v="Ana"/>
    <n v="7"/>
    <d v="2026-03-20T00:00:00"/>
    <x v="1"/>
    <d v="2026-03-21T00:00:00"/>
    <n v="1337.17"/>
    <n v="0"/>
    <n v="0"/>
    <s v="2026-03"/>
  </r>
  <r>
    <d v="2026-03-13T00:00:00"/>
    <s v="NF-10130"/>
    <s v="Goiás Office"/>
    <s v="Financeiro"/>
    <s v="Equipamentos"/>
    <n v="2655.76"/>
    <s v="Boleto"/>
    <s v="Fernanda"/>
    <n v="7"/>
    <d v="2026-03-20T00:00:00"/>
    <x v="1"/>
    <d v="2026-03-30T00:00:00"/>
    <n v="2655.76"/>
    <n v="0"/>
    <n v="0"/>
    <s v="2026-03"/>
  </r>
  <r>
    <d v="2026-03-14T00:00:00"/>
    <s v="NF-10052"/>
    <s v="Aparecida Comercial"/>
    <s v="Operações"/>
    <s v="Material de Escritório"/>
    <n v="2292.84"/>
    <s v="PIX"/>
    <s v="Ana"/>
    <n v="7"/>
    <d v="2026-03-21T00:00:00"/>
    <x v="1"/>
    <d v="2026-03-27T00:00:00"/>
    <n v="2292.84"/>
    <n v="0"/>
    <n v="0"/>
    <s v="2026-03"/>
  </r>
  <r>
    <d v="2026-03-15T00:00:00"/>
    <s v="NF-10585"/>
    <s v="Alfa Comércio Ltda."/>
    <s v="Operações"/>
    <s v="Serviços"/>
    <n v="1477.95"/>
    <s v="PIX"/>
    <s v="Ana"/>
    <n v="30"/>
    <d v="2026-04-14T00:00:00"/>
    <x v="1"/>
    <d v="2026-04-22T00:00:00"/>
    <n v="1477.95"/>
    <n v="0"/>
    <n v="0"/>
    <s v="2026-03"/>
  </r>
  <r>
    <d v="2026-03-16T00:00:00"/>
    <s v="NF-10318"/>
    <s v="Goiás Office"/>
    <s v="Comercial"/>
    <s v="Equipamentos"/>
    <n v="3397.89"/>
    <s v="PIX"/>
    <s v="Camila"/>
    <n v="15"/>
    <d v="2026-03-31T00:00:00"/>
    <x v="1"/>
    <d v="2026-04-04T00:00:00"/>
    <n v="3397.89"/>
    <n v="0"/>
    <n v="0"/>
    <s v="2026-03"/>
  </r>
  <r>
    <d v="2026-03-16T00:00:00"/>
    <s v="NF-10189"/>
    <s v="Alfa Comércio Ltda."/>
    <s v="Comercial"/>
    <s v="Software"/>
    <n v="499.95"/>
    <s v="Transferência"/>
    <s v="Lucas"/>
    <n v="30"/>
    <d v="2026-04-15T00:00:00"/>
    <x v="0"/>
    <m/>
    <n v="0"/>
    <n v="499.95"/>
    <n v="0"/>
    <s v="2026-03"/>
  </r>
  <r>
    <d v="2026-03-16T00:00:00"/>
    <s v="NF-10011"/>
    <s v="Nexus Consultoria"/>
    <s v="Operações"/>
    <s v="Serviços"/>
    <n v="1985.45"/>
    <s v="Boleto"/>
    <s v="Fernanda"/>
    <n v="30"/>
    <d v="2026-04-15T00:00:00"/>
    <x v="2"/>
    <m/>
    <n v="0"/>
    <n v="1985.45"/>
    <n v="131"/>
    <s v="2026-03"/>
  </r>
  <r>
    <d v="2026-03-17T00:00:00"/>
    <s v="NF-10528"/>
    <s v="Maxi Atacado"/>
    <s v="Financeiro"/>
    <s v="Software"/>
    <n v="1818.39"/>
    <s v="PIX"/>
    <s v="Fernanda"/>
    <n v="7"/>
    <d v="2026-03-24T00:00:00"/>
    <x v="0"/>
    <m/>
    <n v="0"/>
    <n v="1818.39"/>
    <n v="0"/>
    <s v="2026-03"/>
  </r>
  <r>
    <d v="2026-03-21T00:00:00"/>
    <s v="NF-10564"/>
    <s v="Aparecida Comercial"/>
    <s v="Comercial"/>
    <s v="Serviços"/>
    <n v="1882.68"/>
    <s v="PIX"/>
    <s v="Ana"/>
    <n v="45"/>
    <d v="2026-05-05T00:00:00"/>
    <x v="1"/>
    <d v="2026-05-13T00:00:00"/>
    <n v="1882.68"/>
    <n v="0"/>
    <n v="0"/>
    <s v="2026-03"/>
  </r>
  <r>
    <d v="2026-03-22T00:00:00"/>
    <s v="NF-10229"/>
    <s v="Prime Serviços"/>
    <s v="Financeiro"/>
    <s v="Software"/>
    <n v="591.59"/>
    <s v="PIX"/>
    <s v="Camila"/>
    <n v="30"/>
    <d v="2026-04-21T00:00:00"/>
    <x v="1"/>
    <d v="2026-04-21T00:00:00"/>
    <n v="591.59"/>
    <n v="0"/>
    <n v="0"/>
    <s v="2026-03"/>
  </r>
  <r>
    <d v="2026-03-22T00:00:00"/>
    <s v="NF-10073"/>
    <s v="Aparecida Comercial"/>
    <s v="Administrativo"/>
    <s v="Serviços"/>
    <n v="1090.1400000000001"/>
    <s v="Cartão"/>
    <s v="Lucas"/>
    <n v="45"/>
    <d v="2026-05-06T00:00:00"/>
    <x v="1"/>
    <d v="2026-05-14T00:00:00"/>
    <n v="1090.1400000000001"/>
    <n v="0"/>
    <n v="0"/>
    <s v="2026-03"/>
  </r>
  <r>
    <d v="2026-03-22T00:00:00"/>
    <s v="NF-10595"/>
    <s v="Prime Serviços"/>
    <s v="Financeiro"/>
    <s v="Material de Escritório"/>
    <n v="1749.02"/>
    <s v="PIX"/>
    <s v="Fernanda"/>
    <n v="30"/>
    <d v="2026-04-21T00:00:00"/>
    <x v="1"/>
    <d v="2026-04-26T00:00:00"/>
    <n v="1749.02"/>
    <n v="0"/>
    <n v="0"/>
    <s v="2026-03"/>
  </r>
  <r>
    <d v="2026-03-22T00:00:00"/>
    <s v="NF-10119"/>
    <s v="Aparecida Comercial"/>
    <s v="Operações"/>
    <s v="Material de Escritório"/>
    <n v="1195.9000000000001"/>
    <s v="Boleto"/>
    <s v="Ana"/>
    <n v="30"/>
    <d v="2026-04-21T00:00:00"/>
    <x v="0"/>
    <m/>
    <n v="0"/>
    <n v="1195.9000000000001"/>
    <n v="0"/>
    <s v="2026-03"/>
  </r>
  <r>
    <d v="2026-03-23T00:00:00"/>
    <s v="NF-10099"/>
    <s v="Goiás Office"/>
    <s v="Administrativo"/>
    <s v="Material de Escritório"/>
    <n v="725.44"/>
    <s v="Cartão"/>
    <s v="Camila"/>
    <n v="15"/>
    <d v="2026-04-07T00:00:00"/>
    <x v="1"/>
    <d v="2026-04-14T00:00:00"/>
    <n v="725.44"/>
    <n v="0"/>
    <n v="0"/>
    <s v="2026-03"/>
  </r>
  <r>
    <d v="2026-03-23T00:00:00"/>
    <s v="NF-10282"/>
    <s v="Beta Distribuidora"/>
    <s v="Comercial"/>
    <s v="Equipamentos"/>
    <n v="2571.1"/>
    <s v="Transferência"/>
    <s v="Ana"/>
    <n v="30"/>
    <d v="2026-04-22T00:00:00"/>
    <x v="1"/>
    <d v="2026-04-24T00:00:00"/>
    <n v="2571.1"/>
    <n v="0"/>
    <n v="0"/>
    <s v="2026-03"/>
  </r>
  <r>
    <d v="2026-03-23T00:00:00"/>
    <s v="NF-10332"/>
    <s v="Jardim Suprimentos"/>
    <s v="Comercial"/>
    <s v="Software"/>
    <n v="1179.75"/>
    <s v="PIX"/>
    <s v="Camila"/>
    <n v="7"/>
    <d v="2026-03-30T00:00:00"/>
    <x v="1"/>
    <d v="2026-04-01T00:00:00"/>
    <n v="1179.75"/>
    <n v="0"/>
    <n v="0"/>
    <s v="2026-03"/>
  </r>
  <r>
    <d v="2026-03-25T00:00:00"/>
    <s v="NF-10324"/>
    <s v="Nexus Consultoria"/>
    <s v="Operações"/>
    <s v="Consultoria"/>
    <n v="748.15"/>
    <s v="PIX"/>
    <s v="Fernanda"/>
    <n v="15"/>
    <d v="2026-04-09T00:00:00"/>
    <x v="0"/>
    <m/>
    <n v="0"/>
    <n v="748.15"/>
    <n v="0"/>
    <s v="2026-03"/>
  </r>
  <r>
    <d v="2026-03-25T00:00:00"/>
    <s v="NF-10186"/>
    <s v="Central Materiais"/>
    <s v="Comercial"/>
    <s v="Software"/>
    <n v="1124.95"/>
    <s v="Transferência"/>
    <s v="Lucas"/>
    <n v="15"/>
    <d v="2026-04-09T00:00:00"/>
    <x v="1"/>
    <d v="2026-04-17T00:00:00"/>
    <n v="1124.95"/>
    <n v="0"/>
    <n v="0"/>
    <s v="2026-03"/>
  </r>
  <r>
    <d v="2026-03-25T00:00:00"/>
    <s v="NF-10063"/>
    <s v="Jardim Suprimentos"/>
    <s v="Comercial"/>
    <s v="Material de Escritório"/>
    <n v="2072.7600000000002"/>
    <s v="PIX"/>
    <s v="Lucas"/>
    <n v="30"/>
    <d v="2026-04-24T00:00:00"/>
    <x v="2"/>
    <m/>
    <n v="0"/>
    <n v="2072.7600000000002"/>
    <n v="122"/>
    <s v="2026-03"/>
  </r>
  <r>
    <d v="2026-03-25T00:00:00"/>
    <s v="NF-10568"/>
    <s v="Goiás Office"/>
    <s v="Comercial"/>
    <s v="Material de Escritório"/>
    <n v="1922.81"/>
    <s v="PIX"/>
    <s v="Bruno"/>
    <n v="15"/>
    <d v="2026-04-09T00:00:00"/>
    <x v="0"/>
    <m/>
    <n v="0"/>
    <n v="1922.81"/>
    <n v="0"/>
    <s v="2026-03"/>
  </r>
  <r>
    <d v="2026-03-26T00:00:00"/>
    <s v="NF-10544"/>
    <s v="Sul Center"/>
    <s v="Administrativo"/>
    <s v="Material de Escritório"/>
    <n v="987.3"/>
    <s v="PIX"/>
    <s v="Diego"/>
    <n v="7"/>
    <d v="2026-04-02T00:00:00"/>
    <x v="2"/>
    <m/>
    <n v="0"/>
    <n v="987.3"/>
    <n v="144"/>
    <s v="2026-03"/>
  </r>
  <r>
    <d v="2026-03-27T00:00:00"/>
    <s v="NF-10452"/>
    <s v="Beta Distribuidora"/>
    <s v="Operações"/>
    <s v="Software"/>
    <n v="1366.25"/>
    <s v="Boleto"/>
    <s v="Fernanda"/>
    <n v="30"/>
    <d v="2026-04-26T00:00:00"/>
    <x v="1"/>
    <d v="2026-05-01T00:00:00"/>
    <n v="1366.25"/>
    <n v="0"/>
    <n v="0"/>
    <s v="2026-03"/>
  </r>
  <r>
    <d v="2026-03-27T00:00:00"/>
    <s v="NF-10532"/>
    <s v="NovaTech Soluções"/>
    <s v="Operações"/>
    <s v="Material de Escritório"/>
    <n v="841.05"/>
    <s v="PIX"/>
    <s v="Lucas"/>
    <n v="30"/>
    <d v="2026-04-26T00:00:00"/>
    <x v="1"/>
    <d v="2026-04-28T00:00:00"/>
    <n v="841.05"/>
    <n v="0"/>
    <n v="0"/>
    <s v="2026-03"/>
  </r>
  <r>
    <d v="2026-03-27T00:00:00"/>
    <s v="NF-10462"/>
    <s v="Goiás Office"/>
    <s v="Financeiro"/>
    <s v="Consultoria"/>
    <n v="2125.4"/>
    <s v="PIX"/>
    <s v="Bruno"/>
    <n v="15"/>
    <d v="2026-04-11T00:00:00"/>
    <x v="1"/>
    <d v="2026-04-13T00:00:00"/>
    <n v="2125.4"/>
    <n v="0"/>
    <n v="0"/>
    <s v="2026-03"/>
  </r>
  <r>
    <d v="2026-03-27T00:00:00"/>
    <s v="NF-10174"/>
    <s v="Capital Empresarial"/>
    <s v="Comercial"/>
    <s v="Software"/>
    <n v="334.78"/>
    <s v="Boleto"/>
    <s v="Camila"/>
    <n v="30"/>
    <d v="2026-04-26T00:00:00"/>
    <x v="1"/>
    <d v="2026-05-01T00:00:00"/>
    <n v="334.78"/>
    <n v="0"/>
    <n v="0"/>
    <s v="2026-03"/>
  </r>
  <r>
    <d v="2026-03-27T00:00:00"/>
    <s v="NF-10414"/>
    <s v="Nexus Consultoria"/>
    <s v="Operações"/>
    <s v="Software"/>
    <n v="1793.11"/>
    <s v="Cartão"/>
    <s v="Bruno"/>
    <n v="30"/>
    <d v="2026-04-26T00:00:00"/>
    <x v="0"/>
    <m/>
    <n v="0"/>
    <n v="1793.11"/>
    <n v="0"/>
    <s v="2026-03"/>
  </r>
  <r>
    <d v="2026-03-28T00:00:00"/>
    <s v="NF-10235"/>
    <s v="Goiás Office"/>
    <s v="Operações"/>
    <s v="Material de Escritório"/>
    <n v="2708.27"/>
    <s v="Boleto"/>
    <s v="Camila"/>
    <n v="30"/>
    <d v="2026-04-27T00:00:00"/>
    <x v="0"/>
    <m/>
    <n v="0"/>
    <n v="2708.27"/>
    <n v="0"/>
    <s v="2026-03"/>
  </r>
  <r>
    <d v="2026-03-29T00:00:00"/>
    <s v="NF-10013"/>
    <s v="Sul Center"/>
    <s v="Comercial"/>
    <s v="Consultoria"/>
    <n v="1559.61"/>
    <s v="Cartão"/>
    <s v="Bruno"/>
    <n v="7"/>
    <d v="2026-04-05T00:00:00"/>
    <x v="2"/>
    <m/>
    <n v="0"/>
    <n v="1559.61"/>
    <n v="141"/>
    <s v="2026-03"/>
  </r>
  <r>
    <d v="2026-03-29T00:00:00"/>
    <s v="NF-10114"/>
    <s v="Aparecida Comercial"/>
    <s v="Financeiro"/>
    <s v="Serviços"/>
    <n v="1429.3"/>
    <s v="Cartão"/>
    <s v="Lucas"/>
    <n v="15"/>
    <d v="2026-04-13T00:00:00"/>
    <x v="1"/>
    <d v="2026-04-14T00:00:00"/>
    <n v="1429.3"/>
    <n v="0"/>
    <n v="0"/>
    <s v="2026-03"/>
  </r>
  <r>
    <d v="2026-03-29T00:00:00"/>
    <s v="NF-10022"/>
    <s v="Alfa Comércio Ltda."/>
    <s v="Financeiro"/>
    <s v="Serviços"/>
    <n v="615.55999999999995"/>
    <s v="Transferência"/>
    <s v="Fernanda"/>
    <n v="30"/>
    <d v="2026-04-28T00:00:00"/>
    <x v="1"/>
    <d v="2026-05-09T00:00:00"/>
    <n v="615.55999999999995"/>
    <n v="0"/>
    <n v="0"/>
    <s v="2026-03"/>
  </r>
  <r>
    <d v="2026-03-30T00:00:00"/>
    <s v="NF-10033"/>
    <s v="Aparecida Comercial"/>
    <s v="Operações"/>
    <s v="Material de Escritório"/>
    <n v="1151.27"/>
    <s v="PIX"/>
    <s v="Ana"/>
    <n v="30"/>
    <d v="2026-04-29T00:00:00"/>
    <x v="1"/>
    <d v="2026-05-06T00:00:00"/>
    <n v="1151.27"/>
    <n v="0"/>
    <n v="0"/>
    <s v="2026-03"/>
  </r>
  <r>
    <d v="2026-03-30T00:00:00"/>
    <s v="NF-10056"/>
    <s v="Capital Empresarial"/>
    <s v="Financeiro"/>
    <s v="Consultoria"/>
    <n v="1250.2"/>
    <s v="Transferência"/>
    <s v="Lucas"/>
    <n v="45"/>
    <d v="2026-05-14T00:00:00"/>
    <x v="2"/>
    <m/>
    <n v="0"/>
    <n v="1250.2"/>
    <n v="102"/>
    <s v="2026-03"/>
  </r>
  <r>
    <d v="2026-03-30T00:00:00"/>
    <s v="NF-10517"/>
    <s v="NovaTech Soluções"/>
    <s v="Comercial"/>
    <s v="Material de Escritório"/>
    <n v="1062.4100000000001"/>
    <s v="Boleto"/>
    <s v="Lucas"/>
    <n v="45"/>
    <d v="2026-05-14T00:00:00"/>
    <x v="0"/>
    <m/>
    <n v="0"/>
    <n v="1062.4100000000001"/>
    <n v="0"/>
    <s v="2026-03"/>
  </r>
  <r>
    <d v="2026-03-30T00:00:00"/>
    <s v="NF-10111"/>
    <s v="Goiás Office"/>
    <s v="Financeiro"/>
    <s v="Material de Escritório"/>
    <n v="1252.83"/>
    <s v="Boleto"/>
    <s v="Bruno"/>
    <n v="7"/>
    <d v="2026-04-06T00:00:00"/>
    <x v="1"/>
    <d v="2026-04-15T00:00:00"/>
    <n v="1252.83"/>
    <n v="0"/>
    <n v="0"/>
    <s v="2026-03"/>
  </r>
  <r>
    <d v="2026-03-31T00:00:00"/>
    <s v="NF-10501"/>
    <s v="Central Materiais"/>
    <s v="Financeiro"/>
    <s v="Software"/>
    <n v="1332.72"/>
    <s v="PIX"/>
    <s v="Ana"/>
    <n v="30"/>
    <d v="2026-04-30T00:00:00"/>
    <x v="2"/>
    <m/>
    <n v="0"/>
    <n v="1332.72"/>
    <n v="116"/>
    <s v="2026-03"/>
  </r>
  <r>
    <d v="2026-03-31T00:00:00"/>
    <s v="NF-10271"/>
    <s v="Sul Center"/>
    <s v="Administrativo"/>
    <s v="Material de Escritório"/>
    <n v="919.18"/>
    <s v="PIX"/>
    <s v="Ana"/>
    <n v="7"/>
    <d v="2026-04-07T00:00:00"/>
    <x v="1"/>
    <d v="2026-04-10T00:00:00"/>
    <n v="919.18"/>
    <n v="0"/>
    <n v="0"/>
    <s v="2026-03"/>
  </r>
  <r>
    <d v="2026-03-31T00:00:00"/>
    <s v="NF-10596"/>
    <s v="Central Materiais"/>
    <s v="Administrativo"/>
    <s v="Equipamentos"/>
    <n v="1915.17"/>
    <s v="PIX"/>
    <s v="Lucas"/>
    <n v="15"/>
    <d v="2026-04-15T00:00:00"/>
    <x v="1"/>
    <d v="2026-04-17T00:00:00"/>
    <n v="1915.17"/>
    <n v="0"/>
    <n v="0"/>
    <s v="2026-03"/>
  </r>
  <r>
    <d v="2026-03-31T00:00:00"/>
    <s v="NF-10155"/>
    <s v="Sul Center"/>
    <s v="Administrativo"/>
    <s v="Equipamentos"/>
    <n v="1370.38"/>
    <s v="PIX"/>
    <s v="Lucas"/>
    <n v="30"/>
    <d v="2026-04-30T00:00:00"/>
    <x v="1"/>
    <d v="2026-04-30T00:00:00"/>
    <n v="1370.38"/>
    <n v="0"/>
    <n v="0"/>
    <s v="2026-03"/>
  </r>
  <r>
    <d v="2026-03-31T00:00:00"/>
    <s v="NF-10060"/>
    <s v="Maxi Atacado"/>
    <s v="Financeiro"/>
    <s v="Consultoria"/>
    <n v="3701.26"/>
    <s v="Boleto"/>
    <s v="Camila"/>
    <n v="30"/>
    <d v="2026-04-30T00:00:00"/>
    <x v="1"/>
    <d v="2026-04-30T00:00:00"/>
    <n v="3701.26"/>
    <n v="0"/>
    <n v="0"/>
    <s v="2026-03"/>
  </r>
  <r>
    <d v="2026-03-31T00:00:00"/>
    <s v="NF-10294"/>
    <s v="Nexus Consultoria"/>
    <s v="Administrativo"/>
    <s v="Material de Escritório"/>
    <n v="2297.27"/>
    <s v="Boleto"/>
    <s v="Camila"/>
    <n v="45"/>
    <d v="2026-05-15T00:00:00"/>
    <x v="1"/>
    <d v="2026-05-19T00:00:00"/>
    <n v="2297.27"/>
    <n v="0"/>
    <n v="0"/>
    <s v="2026-03"/>
  </r>
  <r>
    <d v="2026-04-02T00:00:00"/>
    <s v="NF-10191"/>
    <s v="Alfa Comércio Ltda."/>
    <s v="Administrativo"/>
    <s v="Consultoria"/>
    <n v="2936.53"/>
    <s v="PIX"/>
    <s v="Lucas"/>
    <n v="7"/>
    <d v="2026-04-09T00:00:00"/>
    <x v="0"/>
    <m/>
    <n v="0"/>
    <n v="2936.53"/>
    <n v="0"/>
    <s v="2026-04"/>
  </r>
  <r>
    <d v="2026-04-02T00:00:00"/>
    <s v="NF-10447"/>
    <s v="Nexus Consultoria"/>
    <s v="Operações"/>
    <s v="Software"/>
    <n v="862.88"/>
    <s v="Boleto"/>
    <s v="Bruno"/>
    <n v="30"/>
    <d v="2026-05-02T00:00:00"/>
    <x v="1"/>
    <d v="2026-05-07T00:00:00"/>
    <n v="862.88"/>
    <n v="0"/>
    <n v="0"/>
    <s v="2026-04"/>
  </r>
  <r>
    <d v="2026-04-02T00:00:00"/>
    <s v="NF-10064"/>
    <s v="NovaTech Soluções"/>
    <s v="Financeiro"/>
    <s v="Material de Escritório"/>
    <n v="1730.29"/>
    <s v="Transferência"/>
    <s v="Fernanda"/>
    <n v="45"/>
    <d v="2026-05-17T00:00:00"/>
    <x v="1"/>
    <d v="2026-05-25T00:00:00"/>
    <n v="1730.29"/>
    <n v="0"/>
    <n v="0"/>
    <s v="2026-04"/>
  </r>
  <r>
    <d v="2026-04-02T00:00:00"/>
    <s v="NF-10498"/>
    <s v="Beta Distribuidora"/>
    <s v="Operações"/>
    <s v="Serviços"/>
    <n v="3079.36"/>
    <s v="Boleto"/>
    <s v="Fernanda"/>
    <n v="30"/>
    <d v="2026-05-02T00:00:00"/>
    <x v="1"/>
    <d v="2026-05-10T00:00:00"/>
    <n v="3079.36"/>
    <n v="0"/>
    <n v="0"/>
    <s v="2026-04"/>
  </r>
  <r>
    <d v="2026-04-03T00:00:00"/>
    <s v="NF-10328"/>
    <s v="Nexus Consultoria"/>
    <s v="Comercial"/>
    <s v="Serviços"/>
    <n v="893.06"/>
    <s v="Cartão"/>
    <s v="Ana"/>
    <n v="7"/>
    <d v="2026-04-10T00:00:00"/>
    <x v="1"/>
    <d v="2026-04-17T00:00:00"/>
    <n v="893.06"/>
    <n v="0"/>
    <n v="0"/>
    <s v="2026-04"/>
  </r>
  <r>
    <d v="2026-04-03T00:00:00"/>
    <s v="NF-10391"/>
    <s v="Aparecida Comercial"/>
    <s v="Comercial"/>
    <s v="Equipamentos"/>
    <n v="2431.84"/>
    <s v="Cartão"/>
    <s v="Fernanda"/>
    <n v="15"/>
    <d v="2026-04-18T00:00:00"/>
    <x v="1"/>
    <d v="2026-04-19T00:00:00"/>
    <n v="2431.84"/>
    <n v="0"/>
    <n v="0"/>
    <s v="2026-04"/>
  </r>
  <r>
    <d v="2026-04-03T00:00:00"/>
    <s v="NF-10265"/>
    <s v="Maxi Atacado"/>
    <s v="Financeiro"/>
    <s v="Software"/>
    <n v="1627.99"/>
    <s v="Boleto"/>
    <s v="Fernanda"/>
    <n v="15"/>
    <d v="2026-04-18T00:00:00"/>
    <x v="1"/>
    <d v="2026-04-19T00:00:00"/>
    <n v="1627.99"/>
    <n v="0"/>
    <n v="0"/>
    <s v="2026-04"/>
  </r>
  <r>
    <d v="2026-04-03T00:00:00"/>
    <s v="NF-10002"/>
    <s v="Beta Distribuidora"/>
    <s v="Administrativo"/>
    <s v="Consultoria"/>
    <n v="1535.9"/>
    <s v="Transferência"/>
    <s v="Ana"/>
    <n v="30"/>
    <d v="2026-05-03T00:00:00"/>
    <x v="1"/>
    <d v="2026-05-05T00:00:00"/>
    <n v="1535.9"/>
    <n v="0"/>
    <n v="0"/>
    <s v="2026-04"/>
  </r>
  <r>
    <d v="2026-04-03T00:00:00"/>
    <s v="NF-10598"/>
    <s v="Central Materiais"/>
    <s v="Administrativo"/>
    <s v="Serviços"/>
    <n v="918.77"/>
    <s v="PIX"/>
    <s v="Ana"/>
    <n v="45"/>
    <d v="2026-05-18T00:00:00"/>
    <x v="1"/>
    <d v="2026-05-27T00:00:00"/>
    <n v="918.77"/>
    <n v="0"/>
    <n v="0"/>
    <s v="2026-04"/>
  </r>
  <r>
    <d v="2026-04-03T00:00:00"/>
    <s v="NF-10526"/>
    <s v="Nexus Consultoria"/>
    <s v="Operações"/>
    <s v="Software"/>
    <n v="717.74"/>
    <s v="Boleto"/>
    <s v="Bruno"/>
    <n v="7"/>
    <d v="2026-04-10T00:00:00"/>
    <x v="1"/>
    <d v="2026-04-10T00:00:00"/>
    <n v="717.74"/>
    <n v="0"/>
    <n v="0"/>
    <s v="2026-04"/>
  </r>
  <r>
    <d v="2026-04-04T00:00:00"/>
    <s v="NF-10538"/>
    <s v="Goiás Office"/>
    <s v="Financeiro"/>
    <s v="Software"/>
    <n v="2534.7600000000002"/>
    <s v="Transferência"/>
    <s v="Diego"/>
    <n v="7"/>
    <d v="2026-04-11T00:00:00"/>
    <x v="1"/>
    <d v="2026-04-18T00:00:00"/>
    <n v="2534.7600000000002"/>
    <n v="0"/>
    <n v="0"/>
    <s v="2026-04"/>
  </r>
  <r>
    <d v="2026-04-04T00:00:00"/>
    <s v="NF-10481"/>
    <s v="Alfa Comércio Ltda."/>
    <s v="Comercial"/>
    <s v="Serviços"/>
    <n v="2048.6"/>
    <s v="Boleto"/>
    <s v="Camila"/>
    <n v="30"/>
    <d v="2026-05-04T00:00:00"/>
    <x v="1"/>
    <d v="2026-05-11T00:00:00"/>
    <n v="2048.6"/>
    <n v="0"/>
    <n v="0"/>
    <s v="2026-04"/>
  </r>
  <r>
    <d v="2026-04-05T00:00:00"/>
    <s v="NF-10591"/>
    <s v="Jardim Suprimentos"/>
    <s v="Comercial"/>
    <s v="Serviços"/>
    <n v="1672.58"/>
    <s v="Boleto"/>
    <s v="Lucas"/>
    <n v="45"/>
    <d v="2026-05-20T00:00:00"/>
    <x v="1"/>
    <d v="2026-05-24T00:00:00"/>
    <n v="1672.58"/>
    <n v="0"/>
    <n v="0"/>
    <s v="2026-04"/>
  </r>
  <r>
    <d v="2026-04-05T00:00:00"/>
    <s v="NF-10091"/>
    <s v="Sul Center"/>
    <s v="Administrativo"/>
    <s v="Consultoria"/>
    <n v="571.12"/>
    <s v="Cartão"/>
    <s v="Fernanda"/>
    <n v="45"/>
    <d v="2026-05-20T00:00:00"/>
    <x v="1"/>
    <d v="2026-05-28T00:00:00"/>
    <n v="571.12"/>
    <n v="0"/>
    <n v="0"/>
    <s v="2026-04"/>
  </r>
  <r>
    <d v="2026-04-05T00:00:00"/>
    <s v="NF-10394"/>
    <s v="Capital Empresarial"/>
    <s v="Comercial"/>
    <s v="Serviços"/>
    <n v="1186.81"/>
    <s v="Cartão"/>
    <s v="Ana"/>
    <n v="30"/>
    <d v="2026-05-05T00:00:00"/>
    <x v="1"/>
    <d v="2026-05-12T00:00:00"/>
    <n v="1186.81"/>
    <n v="0"/>
    <n v="0"/>
    <s v="2026-04"/>
  </r>
  <r>
    <d v="2026-04-06T00:00:00"/>
    <s v="NF-10275"/>
    <s v="NovaTech Soluções"/>
    <s v="Operações"/>
    <s v="Consultoria"/>
    <n v="1048.1400000000001"/>
    <s v="PIX"/>
    <s v="Camila"/>
    <n v="15"/>
    <d v="2026-04-21T00:00:00"/>
    <x v="1"/>
    <d v="2026-04-24T00:00:00"/>
    <n v="1048.1400000000001"/>
    <n v="0"/>
    <n v="0"/>
    <s v="2026-04"/>
  </r>
  <r>
    <d v="2026-04-06T00:00:00"/>
    <s v="NF-10215"/>
    <s v="NovaTech Soluções"/>
    <s v="Comercial"/>
    <s v="Material de Escritório"/>
    <n v="1937.2"/>
    <s v="Transferência"/>
    <s v="Ana"/>
    <n v="30"/>
    <d v="2026-05-06T00:00:00"/>
    <x v="1"/>
    <d v="2026-05-14T00:00:00"/>
    <n v="1937.2"/>
    <n v="0"/>
    <n v="0"/>
    <s v="2026-04"/>
  </r>
  <r>
    <d v="2026-04-06T00:00:00"/>
    <s v="NF-10558"/>
    <s v="Aparecida Comercial"/>
    <s v="Financeiro"/>
    <s v="Software"/>
    <n v="5084.28"/>
    <s v="PIX"/>
    <s v="Diego"/>
    <n v="7"/>
    <d v="2026-04-13T00:00:00"/>
    <x v="2"/>
    <m/>
    <n v="0"/>
    <n v="5084.28"/>
    <n v="133"/>
    <s v="2026-04"/>
  </r>
  <r>
    <d v="2026-04-06T00:00:00"/>
    <s v="NF-10513"/>
    <s v="NovaTech Soluções"/>
    <s v="Operações"/>
    <s v="Material de Escritório"/>
    <n v="2589.37"/>
    <s v="Transferência"/>
    <s v="Ana"/>
    <n v="45"/>
    <d v="2026-05-21T00:00:00"/>
    <x v="1"/>
    <d v="2026-05-22T00:00:00"/>
    <n v="2589.37"/>
    <n v="0"/>
    <n v="0"/>
    <s v="2026-04"/>
  </r>
  <r>
    <d v="2026-04-06T00:00:00"/>
    <s v="NF-10163"/>
    <s v="Sul Center"/>
    <s v="Operações"/>
    <s v="Serviços"/>
    <n v="1009.41"/>
    <s v="Cartão"/>
    <s v="Lucas"/>
    <n v="15"/>
    <d v="2026-04-21T00:00:00"/>
    <x v="2"/>
    <m/>
    <n v="0"/>
    <n v="1009.41"/>
    <n v="125"/>
    <s v="2026-04"/>
  </r>
  <r>
    <d v="2026-04-06T00:00:00"/>
    <s v="NF-10161"/>
    <s v="Goiás Office"/>
    <s v="Financeiro"/>
    <s v="Consultoria"/>
    <n v="2468.11"/>
    <s v="PIX"/>
    <s v="Fernanda"/>
    <n v="30"/>
    <d v="2026-05-06T00:00:00"/>
    <x v="1"/>
    <d v="2026-05-08T00:00:00"/>
    <n v="2468.11"/>
    <n v="0"/>
    <n v="0"/>
    <s v="2026-04"/>
  </r>
  <r>
    <d v="2026-04-07T00:00:00"/>
    <s v="NF-10369"/>
    <s v="Nexus Consultoria"/>
    <s v="Administrativo"/>
    <s v="Serviços"/>
    <n v="612.01"/>
    <s v="Cartão"/>
    <s v="Camila"/>
    <n v="15"/>
    <d v="2026-04-22T00:00:00"/>
    <x v="1"/>
    <d v="2026-05-01T00:00:00"/>
    <n v="612.01"/>
    <n v="0"/>
    <n v="0"/>
    <s v="2026-04"/>
  </r>
  <r>
    <d v="2026-04-07T00:00:00"/>
    <s v="NF-10259"/>
    <s v="Beta Distribuidora"/>
    <s v="Financeiro"/>
    <s v="Serviços"/>
    <n v="1047.5899999999999"/>
    <s v="PIX"/>
    <s v="Fernanda"/>
    <n v="15"/>
    <d v="2026-04-22T00:00:00"/>
    <x v="2"/>
    <m/>
    <n v="0"/>
    <n v="1047.5899999999999"/>
    <n v="124"/>
    <s v="2026-04"/>
  </r>
  <r>
    <d v="2026-04-08T00:00:00"/>
    <s v="NF-10448"/>
    <s v="NovaTech Soluções"/>
    <s v="Comercial"/>
    <s v="Equipamentos"/>
    <n v="1010.68"/>
    <s v="PIX"/>
    <s v="Camila"/>
    <n v="45"/>
    <d v="2026-05-23T00:00:00"/>
    <x v="0"/>
    <m/>
    <n v="0"/>
    <n v="1010.68"/>
    <n v="0"/>
    <s v="2026-04"/>
  </r>
  <r>
    <d v="2026-04-08T00:00:00"/>
    <s v="NF-10255"/>
    <s v="Nexus Consultoria"/>
    <s v="Administrativo"/>
    <s v="Consultoria"/>
    <n v="1624.98"/>
    <s v="Boleto"/>
    <s v="Camila"/>
    <n v="45"/>
    <d v="2026-05-23T00:00:00"/>
    <x v="1"/>
    <d v="2026-05-25T00:00:00"/>
    <n v="1624.98"/>
    <n v="0"/>
    <n v="0"/>
    <s v="2026-04"/>
  </r>
  <r>
    <d v="2026-04-09T00:00:00"/>
    <s v="NF-10306"/>
    <s v="Alfa Comércio Ltda."/>
    <s v="Financeiro"/>
    <s v="Equipamentos"/>
    <n v="1685.31"/>
    <s v="PIX"/>
    <s v="Diego"/>
    <n v="7"/>
    <d v="2026-04-16T00:00:00"/>
    <x v="1"/>
    <d v="2026-04-20T00:00:00"/>
    <n v="1685.31"/>
    <n v="0"/>
    <n v="0"/>
    <s v="2026-04"/>
  </r>
  <r>
    <d v="2026-04-09T00:00:00"/>
    <s v="NF-10326"/>
    <s v="Nexus Consultoria"/>
    <s v="Operações"/>
    <s v="Consultoria"/>
    <n v="1685.11"/>
    <s v="PIX"/>
    <s v="Camila"/>
    <n v="30"/>
    <d v="2026-05-09T00:00:00"/>
    <x v="0"/>
    <m/>
    <n v="0"/>
    <n v="1685.11"/>
    <n v="0"/>
    <s v="2026-04"/>
  </r>
  <r>
    <d v="2026-04-09T00:00:00"/>
    <s v="NF-10429"/>
    <s v="Prime Serviços"/>
    <s v="Operações"/>
    <s v="Software"/>
    <n v="521.58000000000004"/>
    <s v="Cartão"/>
    <s v="Lucas"/>
    <n v="30"/>
    <d v="2026-05-09T00:00:00"/>
    <x v="1"/>
    <d v="2026-05-10T00:00:00"/>
    <n v="521.58000000000004"/>
    <n v="0"/>
    <n v="0"/>
    <s v="2026-04"/>
  </r>
  <r>
    <d v="2026-04-09T00:00:00"/>
    <s v="NF-10483"/>
    <s v="Prime Serviços"/>
    <s v="Comercial"/>
    <s v="Consultoria"/>
    <n v="1069.22"/>
    <s v="PIX"/>
    <s v="Bruno"/>
    <n v="7"/>
    <d v="2026-04-16T00:00:00"/>
    <x v="1"/>
    <d v="2026-04-16T00:00:00"/>
    <n v="1069.22"/>
    <n v="0"/>
    <n v="0"/>
    <s v="2026-04"/>
  </r>
  <r>
    <d v="2026-04-09T00:00:00"/>
    <s v="NF-10291"/>
    <s v="Sul Center"/>
    <s v="Administrativo"/>
    <s v="Material de Escritório"/>
    <n v="1162"/>
    <s v="Cartão"/>
    <s v="Camila"/>
    <n v="15"/>
    <d v="2026-04-24T00:00:00"/>
    <x v="0"/>
    <m/>
    <n v="0"/>
    <n v="1162"/>
    <n v="0"/>
    <s v="2026-04"/>
  </r>
  <r>
    <d v="2026-04-09T00:00:00"/>
    <s v="NF-10138"/>
    <s v="Prime Serviços"/>
    <s v="Operações"/>
    <s v="Material de Escritório"/>
    <n v="671.14"/>
    <s v="Boleto"/>
    <s v="Diego"/>
    <n v="30"/>
    <d v="2026-05-09T00:00:00"/>
    <x v="1"/>
    <d v="2026-05-12T00:00:00"/>
    <n v="671.14"/>
    <n v="0"/>
    <n v="0"/>
    <s v="2026-04"/>
  </r>
  <r>
    <d v="2026-04-09T00:00:00"/>
    <s v="NF-10395"/>
    <s v="Aparecida Comercial"/>
    <s v="Comercial"/>
    <s v="Serviços"/>
    <n v="812.69"/>
    <s v="Cartão"/>
    <s v="Fernanda"/>
    <n v="30"/>
    <d v="2026-05-09T00:00:00"/>
    <x v="0"/>
    <m/>
    <n v="0"/>
    <n v="812.69"/>
    <n v="0"/>
    <s v="2026-04"/>
  </r>
  <r>
    <d v="2026-04-09T00:00:00"/>
    <s v="NF-10387"/>
    <s v="Prime Serviços"/>
    <s v="Comercial"/>
    <s v="Equipamentos"/>
    <n v="666.02"/>
    <s v="PIX"/>
    <s v="Ana"/>
    <n v="30"/>
    <d v="2026-05-09T00:00:00"/>
    <x v="0"/>
    <m/>
    <n v="0"/>
    <n v="666.02"/>
    <n v="0"/>
    <s v="2026-04"/>
  </r>
  <r>
    <d v="2026-04-10T00:00:00"/>
    <s v="NF-10546"/>
    <s v="Nexus Consultoria"/>
    <s v="Financeiro"/>
    <s v="Equipamentos"/>
    <n v="1392.3"/>
    <s v="Boleto"/>
    <s v="Ana"/>
    <n v="7"/>
    <d v="2026-04-17T00:00:00"/>
    <x v="0"/>
    <m/>
    <n v="0"/>
    <n v="1392.3"/>
    <n v="0"/>
    <s v="2026-04"/>
  </r>
  <r>
    <d v="2026-04-10T00:00:00"/>
    <s v="NF-10552"/>
    <s v="Alfa Comércio Ltda."/>
    <s v="Financeiro"/>
    <s v="Serviços"/>
    <n v="848.86"/>
    <s v="Transferência"/>
    <s v="Diego"/>
    <n v="7"/>
    <d v="2026-04-17T00:00:00"/>
    <x v="1"/>
    <d v="2026-04-18T00:00:00"/>
    <n v="848.86"/>
    <n v="0"/>
    <n v="0"/>
    <s v="2026-04"/>
  </r>
  <r>
    <d v="2026-04-10T00:00:00"/>
    <s v="NF-10015"/>
    <s v="Sul Center"/>
    <s v="Comercial"/>
    <s v="Material de Escritório"/>
    <n v="1056.9000000000001"/>
    <s v="PIX"/>
    <s v="Fernanda"/>
    <n v="7"/>
    <d v="2026-04-17T00:00:00"/>
    <x v="1"/>
    <d v="2026-04-23T00:00:00"/>
    <n v="1056.9000000000001"/>
    <n v="0"/>
    <n v="0"/>
    <s v="2026-04"/>
  </r>
  <r>
    <d v="2026-04-11T00:00:00"/>
    <s v="NF-10226"/>
    <s v="Alfa Comércio Ltda."/>
    <s v="Administrativo"/>
    <s v="Equipamentos"/>
    <n v="904.86"/>
    <s v="Cartão"/>
    <s v="Lucas"/>
    <n v="45"/>
    <d v="2026-05-26T00:00:00"/>
    <x v="1"/>
    <d v="2026-06-04T00:00:00"/>
    <n v="904.86"/>
    <n v="0"/>
    <n v="0"/>
    <s v="2026-04"/>
  </r>
  <r>
    <d v="2026-04-11T00:00:00"/>
    <s v="NF-10143"/>
    <s v="NovaTech Soluções"/>
    <s v="Comercial"/>
    <s v="Serviços"/>
    <n v="1921.76"/>
    <s v="Cartão"/>
    <s v="Diego"/>
    <n v="45"/>
    <d v="2026-05-26T00:00:00"/>
    <x v="1"/>
    <d v="2026-06-06T00:00:00"/>
    <n v="1921.76"/>
    <n v="0"/>
    <n v="0"/>
    <s v="2026-04"/>
  </r>
  <r>
    <d v="2026-04-11T00:00:00"/>
    <s v="NF-10579"/>
    <s v="Prime Serviços"/>
    <s v="Comercial"/>
    <s v="Serviços"/>
    <n v="1196.28"/>
    <s v="Cartão"/>
    <s v="Diego"/>
    <n v="30"/>
    <d v="2026-05-11T00:00:00"/>
    <x v="1"/>
    <d v="2026-05-22T00:00:00"/>
    <n v="1196.28"/>
    <n v="0"/>
    <n v="0"/>
    <s v="2026-04"/>
  </r>
  <r>
    <d v="2026-04-11T00:00:00"/>
    <s v="NF-10548"/>
    <s v="Aparecida Comercial"/>
    <s v="Administrativo"/>
    <s v="Material de Escritório"/>
    <n v="1497.99"/>
    <s v="PIX"/>
    <s v="Fernanda"/>
    <n v="30"/>
    <d v="2026-05-11T00:00:00"/>
    <x v="1"/>
    <d v="2026-05-11T00:00:00"/>
    <n v="1497.99"/>
    <n v="0"/>
    <n v="0"/>
    <s v="2026-04"/>
  </r>
  <r>
    <d v="2026-04-11T00:00:00"/>
    <s v="NF-10470"/>
    <s v="NovaTech Soluções"/>
    <s v="Administrativo"/>
    <s v="Consultoria"/>
    <n v="1800.45"/>
    <s v="Transferência"/>
    <s v="Ana"/>
    <n v="15"/>
    <d v="2026-04-26T00:00:00"/>
    <x v="0"/>
    <m/>
    <n v="0"/>
    <n v="1800.45"/>
    <n v="0"/>
    <s v="2026-04"/>
  </r>
  <r>
    <d v="2026-04-13T00:00:00"/>
    <s v="NF-10008"/>
    <s v="NovaTech Soluções"/>
    <s v="Financeiro"/>
    <s v="Material de Escritório"/>
    <n v="1630.3"/>
    <s v="Boleto"/>
    <s v="Bruno"/>
    <n v="30"/>
    <d v="2026-05-13T00:00:00"/>
    <x v="1"/>
    <d v="2026-05-21T00:00:00"/>
    <n v="1630.3"/>
    <n v="0"/>
    <n v="0"/>
    <s v="2026-04"/>
  </r>
  <r>
    <d v="2026-04-13T00:00:00"/>
    <s v="NF-10000"/>
    <s v="Capital Empresarial"/>
    <s v="Administrativo"/>
    <s v="Material de Escritório"/>
    <n v="960.6"/>
    <s v="PIX"/>
    <s v="Camila"/>
    <n v="30"/>
    <d v="2026-05-13T00:00:00"/>
    <x v="1"/>
    <d v="2026-05-19T00:00:00"/>
    <n v="960.6"/>
    <n v="0"/>
    <n v="0"/>
    <s v="2026-04"/>
  </r>
  <r>
    <d v="2026-04-13T00:00:00"/>
    <s v="NF-10201"/>
    <s v="Beta Distribuidora"/>
    <s v="Administrativo"/>
    <s v="Equipamentos"/>
    <n v="2458.4899999999998"/>
    <s v="Boleto"/>
    <s v="Camila"/>
    <n v="30"/>
    <d v="2026-05-13T00:00:00"/>
    <x v="1"/>
    <d v="2026-05-16T00:00:00"/>
    <n v="2458.4899999999998"/>
    <n v="0"/>
    <n v="0"/>
    <s v="2026-04"/>
  </r>
  <r>
    <d v="2026-04-13T00:00:00"/>
    <s v="NF-10150"/>
    <s v="Goiás Office"/>
    <s v="Comercial"/>
    <s v="Material de Escritório"/>
    <n v="902.55"/>
    <s v="Cartão"/>
    <s v="Bruno"/>
    <n v="7"/>
    <d v="2026-04-20T00:00:00"/>
    <x v="1"/>
    <d v="2026-04-22T00:00:00"/>
    <n v="902.55"/>
    <n v="0"/>
    <n v="0"/>
    <s v="2026-04"/>
  </r>
  <r>
    <d v="2026-04-13T00:00:00"/>
    <s v="NF-10476"/>
    <s v="Central Materiais"/>
    <s v="Comercial"/>
    <s v="Serviços"/>
    <n v="861.74"/>
    <s v="Cartão"/>
    <s v="Fernanda"/>
    <n v="30"/>
    <d v="2026-05-13T00:00:00"/>
    <x v="1"/>
    <d v="2026-05-20T00:00:00"/>
    <n v="861.74"/>
    <n v="0"/>
    <n v="0"/>
    <s v="2026-04"/>
  </r>
  <r>
    <d v="2026-04-14T00:00:00"/>
    <s v="NF-10323"/>
    <s v="Prime Serviços"/>
    <s v="Comercial"/>
    <s v="Software"/>
    <n v="966.14"/>
    <s v="PIX"/>
    <s v="Diego"/>
    <n v="30"/>
    <d v="2026-05-14T00:00:00"/>
    <x v="1"/>
    <d v="2026-05-19T00:00:00"/>
    <n v="966.14"/>
    <n v="0"/>
    <n v="0"/>
    <s v="2026-04"/>
  </r>
  <r>
    <d v="2026-04-14T00:00:00"/>
    <s v="NF-10016"/>
    <s v="Central Materiais"/>
    <s v="Financeiro"/>
    <s v="Software"/>
    <n v="781.72"/>
    <s v="Transferência"/>
    <s v="Lucas"/>
    <n v="30"/>
    <d v="2026-05-14T00:00:00"/>
    <x v="1"/>
    <d v="2026-05-23T00:00:00"/>
    <n v="781.72"/>
    <n v="0"/>
    <n v="0"/>
    <s v="2026-04"/>
  </r>
  <r>
    <d v="2026-04-14T00:00:00"/>
    <s v="NF-10283"/>
    <s v="Prime Serviços"/>
    <s v="Comercial"/>
    <s v="Software"/>
    <n v="5099.79"/>
    <s v="Transferência"/>
    <s v="Diego"/>
    <n v="45"/>
    <d v="2026-05-29T00:00:00"/>
    <x v="1"/>
    <d v="2026-06-03T00:00:00"/>
    <n v="5099.79"/>
    <n v="0"/>
    <n v="0"/>
    <s v="2026-04"/>
  </r>
  <r>
    <d v="2026-04-14T00:00:00"/>
    <s v="NF-10421"/>
    <s v="NovaTech Soluções"/>
    <s v="Operações"/>
    <s v="Consultoria"/>
    <n v="3172.02"/>
    <s v="Transferência"/>
    <s v="Fernanda"/>
    <n v="15"/>
    <d v="2026-04-29T00:00:00"/>
    <x v="1"/>
    <d v="2026-05-02T00:00:00"/>
    <n v="3172.02"/>
    <n v="0"/>
    <n v="0"/>
    <s v="2026-04"/>
  </r>
  <r>
    <d v="2026-04-14T00:00:00"/>
    <s v="NF-10076"/>
    <s v="Goiás Office"/>
    <s v="Comercial"/>
    <s v="Consultoria"/>
    <n v="6857.27"/>
    <s v="Boleto"/>
    <s v="Bruno"/>
    <n v="15"/>
    <d v="2026-04-29T00:00:00"/>
    <x v="1"/>
    <d v="2026-05-06T00:00:00"/>
    <n v="6857.27"/>
    <n v="0"/>
    <n v="0"/>
    <s v="2026-04"/>
  </r>
  <r>
    <d v="2026-04-14T00:00:00"/>
    <s v="NF-10408"/>
    <s v="Goiás Office"/>
    <s v="Administrativo"/>
    <s v="Material de Escritório"/>
    <n v="3541.85"/>
    <s v="Boleto"/>
    <s v="Lucas"/>
    <n v="7"/>
    <d v="2026-04-21T00:00:00"/>
    <x v="1"/>
    <d v="2026-04-30T00:00:00"/>
    <n v="3541.85"/>
    <n v="0"/>
    <n v="0"/>
    <s v="2026-04"/>
  </r>
  <r>
    <d v="2026-04-14T00:00:00"/>
    <s v="NF-10140"/>
    <s v="Prime Serviços"/>
    <s v="Financeiro"/>
    <s v="Consultoria"/>
    <n v="1132.3399999999999"/>
    <s v="Transferência"/>
    <s v="Camila"/>
    <n v="15"/>
    <d v="2026-04-29T00:00:00"/>
    <x v="1"/>
    <d v="2026-05-07T00:00:00"/>
    <n v="1132.3399999999999"/>
    <n v="0"/>
    <n v="0"/>
    <s v="2026-04"/>
  </r>
  <r>
    <d v="2026-04-16T00:00:00"/>
    <s v="NF-10081"/>
    <s v="Maxi Atacado"/>
    <s v="Administrativo"/>
    <s v="Software"/>
    <n v="531.85"/>
    <s v="Cartão"/>
    <s v="Diego"/>
    <n v="30"/>
    <d v="2026-05-16T00:00:00"/>
    <x v="1"/>
    <d v="2026-05-20T00:00:00"/>
    <n v="531.85"/>
    <n v="0"/>
    <n v="0"/>
    <s v="2026-04"/>
  </r>
  <r>
    <d v="2026-04-16T00:00:00"/>
    <s v="NF-10491"/>
    <s v="Beta Distribuidora"/>
    <s v="Administrativo"/>
    <s v="Equipamentos"/>
    <n v="1512.96"/>
    <s v="PIX"/>
    <s v="Ana"/>
    <n v="30"/>
    <d v="2026-05-16T00:00:00"/>
    <x v="0"/>
    <m/>
    <n v="0"/>
    <n v="1512.96"/>
    <n v="0"/>
    <s v="2026-04"/>
  </r>
  <r>
    <d v="2026-04-17T00:00:00"/>
    <s v="NF-10004"/>
    <s v="Sul Center"/>
    <s v="Financeiro"/>
    <s v="Software"/>
    <n v="1087.3499999999999"/>
    <s v="Boleto"/>
    <s v="Lucas"/>
    <n v="7"/>
    <d v="2026-04-24T00:00:00"/>
    <x v="1"/>
    <d v="2026-05-03T00:00:00"/>
    <n v="1087.3499999999999"/>
    <n v="0"/>
    <n v="0"/>
    <s v="2026-04"/>
  </r>
  <r>
    <d v="2026-04-18T00:00:00"/>
    <s v="NF-10045"/>
    <s v="Alfa Comércio Ltda."/>
    <s v="Financeiro"/>
    <s v="Software"/>
    <n v="2897.43"/>
    <s v="PIX"/>
    <s v="Fernanda"/>
    <n v="30"/>
    <d v="2026-05-18T00:00:00"/>
    <x v="1"/>
    <d v="2026-05-21T00:00:00"/>
    <n v="2897.43"/>
    <n v="0"/>
    <n v="0"/>
    <s v="2026-04"/>
  </r>
  <r>
    <d v="2026-04-18T00:00:00"/>
    <s v="NF-10474"/>
    <s v="Central Materiais"/>
    <s v="Operações"/>
    <s v="Consultoria"/>
    <n v="910.06"/>
    <s v="Cartão"/>
    <s v="Ana"/>
    <n v="30"/>
    <d v="2026-05-18T00:00:00"/>
    <x v="0"/>
    <m/>
    <n v="0"/>
    <n v="910.06"/>
    <n v="0"/>
    <s v="2026-04"/>
  </r>
  <r>
    <d v="2026-04-18T00:00:00"/>
    <s v="NF-10184"/>
    <s v="NovaTech Soluções"/>
    <s v="Administrativo"/>
    <s v="Software"/>
    <n v="4396.6000000000004"/>
    <s v="Transferência"/>
    <s v="Ana"/>
    <n v="30"/>
    <d v="2026-05-18T00:00:00"/>
    <x v="1"/>
    <d v="2026-05-18T00:00:00"/>
    <n v="4396.6000000000004"/>
    <n v="0"/>
    <n v="0"/>
    <s v="2026-04"/>
  </r>
  <r>
    <d v="2026-04-19T00:00:00"/>
    <s v="NF-10361"/>
    <s v="Alfa Comércio Ltda."/>
    <s v="Operações"/>
    <s v="Material de Escritório"/>
    <n v="2207.87"/>
    <s v="PIX"/>
    <s v="Bruno"/>
    <n v="15"/>
    <d v="2026-05-04T00:00:00"/>
    <x v="0"/>
    <m/>
    <n v="0"/>
    <n v="2207.87"/>
    <n v="0"/>
    <s v="2026-04"/>
  </r>
  <r>
    <d v="2026-04-19T00:00:00"/>
    <s v="NF-10479"/>
    <s v="Alfa Comércio Ltda."/>
    <s v="Financeiro"/>
    <s v="Consultoria"/>
    <n v="4813.28"/>
    <s v="Transferência"/>
    <s v="Diego"/>
    <n v="15"/>
    <d v="2026-05-04T00:00:00"/>
    <x v="1"/>
    <d v="2026-05-12T00:00:00"/>
    <n v="4813.28"/>
    <n v="0"/>
    <n v="0"/>
    <s v="2026-04"/>
  </r>
  <r>
    <d v="2026-04-20T00:00:00"/>
    <s v="NF-10331"/>
    <s v="Goiás Office"/>
    <s v="Administrativo"/>
    <s v="Material de Escritório"/>
    <n v="987.12"/>
    <s v="Boleto"/>
    <s v="Lucas"/>
    <n v="45"/>
    <d v="2026-06-04T00:00:00"/>
    <x v="0"/>
    <m/>
    <n v="0"/>
    <n v="987.12"/>
    <n v="0"/>
    <s v="2026-04"/>
  </r>
  <r>
    <d v="2026-04-21T00:00:00"/>
    <s v="NF-10065"/>
    <s v="Central Materiais"/>
    <s v="Comercial"/>
    <s v="Equipamentos"/>
    <n v="758.42"/>
    <s v="Boleto"/>
    <s v="Camila"/>
    <n v="15"/>
    <d v="2026-05-06T00:00:00"/>
    <x v="1"/>
    <d v="2026-05-10T00:00:00"/>
    <n v="758.42"/>
    <n v="0"/>
    <n v="0"/>
    <s v="2026-04"/>
  </r>
  <r>
    <d v="2026-04-21T00:00:00"/>
    <s v="NF-10100"/>
    <s v="Nexus Consultoria"/>
    <s v="Operações"/>
    <s v="Serviços"/>
    <n v="1631.83"/>
    <s v="Cartão"/>
    <s v="Camila"/>
    <n v="30"/>
    <d v="2026-05-21T00:00:00"/>
    <x v="1"/>
    <d v="2026-05-30T00:00:00"/>
    <n v="1631.83"/>
    <n v="0"/>
    <n v="0"/>
    <s v="2026-04"/>
  </r>
  <r>
    <d v="2026-04-21T00:00:00"/>
    <s v="NF-10371"/>
    <s v="Capital Empresarial"/>
    <s v="Financeiro"/>
    <s v="Equipamentos"/>
    <n v="2712.53"/>
    <s v="PIX"/>
    <s v="Camila"/>
    <n v="15"/>
    <d v="2026-05-06T00:00:00"/>
    <x v="1"/>
    <d v="2026-05-11T00:00:00"/>
    <n v="2712.53"/>
    <n v="0"/>
    <n v="0"/>
    <s v="2026-04"/>
  </r>
  <r>
    <d v="2026-04-22T00:00:00"/>
    <s v="NF-10295"/>
    <s v="Maxi Atacado"/>
    <s v="Comercial"/>
    <s v="Material de Escritório"/>
    <n v="935.1"/>
    <s v="Boleto"/>
    <s v="Camila"/>
    <n v="7"/>
    <d v="2026-04-29T00:00:00"/>
    <x v="2"/>
    <m/>
    <n v="0"/>
    <n v="935.1"/>
    <n v="117"/>
    <s v="2026-04"/>
  </r>
  <r>
    <d v="2026-04-22T00:00:00"/>
    <s v="NF-10325"/>
    <s v="Central Materiais"/>
    <s v="Operações"/>
    <s v="Consultoria"/>
    <n v="731.38"/>
    <s v="Cartão"/>
    <s v="Ana"/>
    <n v="15"/>
    <d v="2026-05-07T00:00:00"/>
    <x v="0"/>
    <m/>
    <n v="0"/>
    <n v="731.38"/>
    <n v="0"/>
    <s v="2026-04"/>
  </r>
  <r>
    <d v="2026-04-23T00:00:00"/>
    <s v="NF-10225"/>
    <s v="Goiás Office"/>
    <s v="Financeiro"/>
    <s v="Serviços"/>
    <n v="1696.47"/>
    <s v="Boleto"/>
    <s v="Bruno"/>
    <n v="15"/>
    <d v="2026-05-08T00:00:00"/>
    <x v="1"/>
    <d v="2026-05-19T00:00:00"/>
    <n v="1696.47"/>
    <n v="0"/>
    <n v="0"/>
    <s v="2026-04"/>
  </r>
  <r>
    <d v="2026-04-23T00:00:00"/>
    <s v="NF-10227"/>
    <s v="NovaTech Soluções"/>
    <s v="Comercial"/>
    <s v="Consultoria"/>
    <n v="1603.74"/>
    <s v="Boleto"/>
    <s v="Ana"/>
    <n v="45"/>
    <d v="2026-06-07T00:00:00"/>
    <x v="0"/>
    <m/>
    <n v="0"/>
    <n v="1603.74"/>
    <n v="0"/>
    <s v="2026-04"/>
  </r>
  <r>
    <d v="2026-04-23T00:00:00"/>
    <s v="NF-10231"/>
    <s v="Alfa Comércio Ltda."/>
    <s v="Financeiro"/>
    <s v="Serviços"/>
    <n v="1149.3800000000001"/>
    <s v="PIX"/>
    <s v="Fernanda"/>
    <n v="30"/>
    <d v="2026-05-23T00:00:00"/>
    <x v="1"/>
    <d v="2026-05-30T00:00:00"/>
    <n v="1149.3800000000001"/>
    <n v="0"/>
    <n v="0"/>
    <s v="2026-04"/>
  </r>
  <r>
    <d v="2026-04-23T00:00:00"/>
    <s v="NF-10297"/>
    <s v="Capital Empresarial"/>
    <s v="Financeiro"/>
    <s v="Material de Escritório"/>
    <n v="3615.63"/>
    <s v="PIX"/>
    <s v="Bruno"/>
    <n v="45"/>
    <d v="2026-06-07T00:00:00"/>
    <x v="1"/>
    <d v="2026-06-09T00:00:00"/>
    <n v="3615.63"/>
    <n v="0"/>
    <n v="0"/>
    <s v="2026-04"/>
  </r>
  <r>
    <d v="2026-04-23T00:00:00"/>
    <s v="NF-10217"/>
    <s v="Sul Center"/>
    <s v="Comercial"/>
    <s v="Consultoria"/>
    <n v="890.56"/>
    <s v="PIX"/>
    <s v="Lucas"/>
    <n v="30"/>
    <d v="2026-05-23T00:00:00"/>
    <x v="1"/>
    <d v="2026-05-25T00:00:00"/>
    <n v="890.56"/>
    <n v="0"/>
    <n v="0"/>
    <s v="2026-04"/>
  </r>
  <r>
    <d v="2026-04-23T00:00:00"/>
    <s v="NF-10319"/>
    <s v="Sul Center"/>
    <s v="Operações"/>
    <s v="Serviços"/>
    <n v="1122.72"/>
    <s v="Transferência"/>
    <s v="Lucas"/>
    <n v="30"/>
    <d v="2026-05-23T00:00:00"/>
    <x v="1"/>
    <d v="2026-05-31T00:00:00"/>
    <n v="1122.72"/>
    <n v="0"/>
    <n v="0"/>
    <s v="2026-04"/>
  </r>
  <r>
    <d v="2026-04-24T00:00:00"/>
    <s v="NF-10489"/>
    <s v="Alfa Comércio Ltda."/>
    <s v="Operações"/>
    <s v="Software"/>
    <n v="4715.7"/>
    <s v="Boleto"/>
    <s v="Camila"/>
    <n v="30"/>
    <d v="2026-05-24T00:00:00"/>
    <x v="1"/>
    <d v="2026-06-01T00:00:00"/>
    <n v="4715.7"/>
    <n v="0"/>
    <n v="0"/>
    <s v="2026-04"/>
  </r>
  <r>
    <d v="2026-04-24T00:00:00"/>
    <s v="NF-10411"/>
    <s v="Central Materiais"/>
    <s v="Financeiro"/>
    <s v="Serviços"/>
    <n v="1069.94"/>
    <s v="PIX"/>
    <s v="Bruno"/>
    <n v="30"/>
    <d v="2026-05-24T00:00:00"/>
    <x v="0"/>
    <m/>
    <n v="0"/>
    <n v="1069.94"/>
    <n v="0"/>
    <s v="2026-04"/>
  </r>
  <r>
    <d v="2026-04-25T00:00:00"/>
    <s v="NF-10356"/>
    <s v="Sul Center"/>
    <s v="Financeiro"/>
    <s v="Serviços"/>
    <n v="1284.79"/>
    <s v="PIX"/>
    <s v="Diego"/>
    <n v="30"/>
    <d v="2026-05-25T00:00:00"/>
    <x v="1"/>
    <d v="2026-06-05T00:00:00"/>
    <n v="1284.79"/>
    <n v="0"/>
    <n v="0"/>
    <s v="2026-04"/>
  </r>
  <r>
    <d v="2026-04-25T00:00:00"/>
    <s v="NF-10445"/>
    <s v="Goiás Office"/>
    <s v="Comercial"/>
    <s v="Consultoria"/>
    <n v="414.2"/>
    <s v="Cartão"/>
    <s v="Lucas"/>
    <n v="15"/>
    <d v="2026-05-10T00:00:00"/>
    <x v="1"/>
    <d v="2026-05-19T00:00:00"/>
    <n v="414.2"/>
    <n v="0"/>
    <n v="0"/>
    <s v="2026-04"/>
  </r>
  <r>
    <d v="2026-04-26T00:00:00"/>
    <s v="NF-10254"/>
    <s v="Maxi Atacado"/>
    <s v="Administrativo"/>
    <s v="Serviços"/>
    <n v="974.66"/>
    <s v="Cartão"/>
    <s v="Ana"/>
    <n v="7"/>
    <d v="2026-05-03T00:00:00"/>
    <x v="1"/>
    <d v="2026-05-13T00:00:00"/>
    <n v="974.66"/>
    <n v="0"/>
    <n v="0"/>
    <s v="2026-04"/>
  </r>
  <r>
    <d v="2026-04-26T00:00:00"/>
    <s v="NF-10317"/>
    <s v="Jardim Suprimentos"/>
    <s v="Operações"/>
    <s v="Material de Escritório"/>
    <n v="987.74"/>
    <s v="PIX"/>
    <s v="Bruno"/>
    <n v="45"/>
    <d v="2026-06-10T00:00:00"/>
    <x v="1"/>
    <d v="2026-06-17T00:00:00"/>
    <n v="987.74"/>
    <n v="0"/>
    <n v="0"/>
    <s v="2026-04"/>
  </r>
  <r>
    <d v="2026-04-26T00:00:00"/>
    <s v="NF-10480"/>
    <s v="Maxi Atacado"/>
    <s v="Financeiro"/>
    <s v="Consultoria"/>
    <n v="1355.88"/>
    <s v="PIX"/>
    <s v="Bruno"/>
    <n v="30"/>
    <d v="2026-05-26T00:00:00"/>
    <x v="1"/>
    <d v="2026-06-01T00:00:00"/>
    <n v="1355.88"/>
    <n v="0"/>
    <n v="0"/>
    <s v="2026-04"/>
  </r>
  <r>
    <d v="2026-04-26T00:00:00"/>
    <s v="NF-10198"/>
    <s v="Goiás Office"/>
    <s v="Comercial"/>
    <s v="Equipamentos"/>
    <n v="1132.97"/>
    <s v="Transferência"/>
    <s v="Bruno"/>
    <n v="15"/>
    <d v="2026-05-11T00:00:00"/>
    <x v="0"/>
    <m/>
    <n v="0"/>
    <n v="1132.97"/>
    <n v="0"/>
    <s v="2026-04"/>
  </r>
  <r>
    <d v="2026-04-26T00:00:00"/>
    <s v="NF-10397"/>
    <s v="Alfa Comércio Ltda."/>
    <s v="Comercial"/>
    <s v="Serviços"/>
    <n v="510.17"/>
    <s v="PIX"/>
    <s v="Lucas"/>
    <n v="7"/>
    <d v="2026-05-03T00:00:00"/>
    <x v="1"/>
    <d v="2026-05-13T00:00:00"/>
    <n v="510.17"/>
    <n v="0"/>
    <n v="0"/>
    <s v="2026-04"/>
  </r>
  <r>
    <d v="2026-04-27T00:00:00"/>
    <s v="NF-10014"/>
    <s v="NovaTech Soluções"/>
    <s v="Administrativo"/>
    <s v="Consultoria"/>
    <n v="1217.3699999999999"/>
    <s v="Cartão"/>
    <s v="Camila"/>
    <n v="30"/>
    <d v="2026-05-27T00:00:00"/>
    <x v="1"/>
    <d v="2026-06-01T00:00:00"/>
    <n v="1217.3699999999999"/>
    <n v="0"/>
    <n v="0"/>
    <s v="2026-04"/>
  </r>
  <r>
    <d v="2026-04-27T00:00:00"/>
    <s v="NF-10385"/>
    <s v="Beta Distribuidora"/>
    <s v="Administrativo"/>
    <s v="Material de Escritório"/>
    <n v="1345.37"/>
    <s v="Cartão"/>
    <s v="Camila"/>
    <n v="30"/>
    <d v="2026-05-27T00:00:00"/>
    <x v="1"/>
    <d v="2026-06-07T00:00:00"/>
    <n v="1345.37"/>
    <n v="0"/>
    <n v="0"/>
    <s v="2026-04"/>
  </r>
  <r>
    <d v="2026-04-27T00:00:00"/>
    <s v="NF-10518"/>
    <s v="Nexus Consultoria"/>
    <s v="Operações"/>
    <s v="Material de Escritório"/>
    <n v="898.77"/>
    <s v="PIX"/>
    <s v="Diego"/>
    <n v="30"/>
    <d v="2026-05-27T00:00:00"/>
    <x v="1"/>
    <d v="2026-06-03T00:00:00"/>
    <n v="898.77"/>
    <n v="0"/>
    <n v="0"/>
    <s v="2026-04"/>
  </r>
  <r>
    <d v="2026-04-27T00:00:00"/>
    <s v="NF-10502"/>
    <s v="Alfa Comércio Ltda."/>
    <s v="Comercial"/>
    <s v="Software"/>
    <n v="544.55999999999995"/>
    <s v="Cartão"/>
    <s v="Fernanda"/>
    <n v="30"/>
    <d v="2026-05-27T00:00:00"/>
    <x v="1"/>
    <d v="2026-06-05T00:00:00"/>
    <n v="544.55999999999995"/>
    <n v="0"/>
    <n v="0"/>
    <s v="2026-04"/>
  </r>
  <r>
    <d v="2026-04-28T00:00:00"/>
    <s v="NF-10515"/>
    <s v="Maxi Atacado"/>
    <s v="Operações"/>
    <s v="Material de Escritório"/>
    <n v="4112.72"/>
    <s v="Transferência"/>
    <s v="Camila"/>
    <n v="30"/>
    <d v="2026-05-28T00:00:00"/>
    <x v="0"/>
    <m/>
    <n v="0"/>
    <n v="4112.72"/>
    <n v="0"/>
    <s v="2026-04"/>
  </r>
  <r>
    <d v="2026-04-28T00:00:00"/>
    <s v="NF-10213"/>
    <s v="Alfa Comércio Ltda."/>
    <s v="Financeiro"/>
    <s v="Serviços"/>
    <n v="1086.3800000000001"/>
    <s v="Transferência"/>
    <s v="Ana"/>
    <n v="15"/>
    <d v="2026-05-13T00:00:00"/>
    <x v="2"/>
    <m/>
    <n v="0"/>
    <n v="1086.3800000000001"/>
    <n v="103"/>
    <s v="2026-04"/>
  </r>
  <r>
    <d v="2026-04-29T00:00:00"/>
    <s v="NF-10357"/>
    <s v="Sul Center"/>
    <s v="Comercial"/>
    <s v="Material de Escritório"/>
    <n v="912.62"/>
    <s v="Transferência"/>
    <s v="Bruno"/>
    <n v="15"/>
    <d v="2026-05-14T00:00:00"/>
    <x v="1"/>
    <d v="2026-05-20T00:00:00"/>
    <n v="912.62"/>
    <n v="0"/>
    <n v="0"/>
    <s v="2026-04"/>
  </r>
  <r>
    <d v="2026-04-30T00:00:00"/>
    <s v="NF-10314"/>
    <s v="Beta Distribuidora"/>
    <s v="Financeiro"/>
    <s v="Serviços"/>
    <n v="646.6"/>
    <s v="PIX"/>
    <s v="Camila"/>
    <n v="15"/>
    <d v="2026-05-15T00:00:00"/>
    <x v="1"/>
    <d v="2026-05-19T00:00:00"/>
    <n v="646.6"/>
    <n v="0"/>
    <n v="0"/>
    <s v="2026-04"/>
  </r>
  <r>
    <d v="2026-04-30T00:00:00"/>
    <s v="NF-10495"/>
    <s v="Aparecida Comercial"/>
    <s v="Financeiro"/>
    <s v="Consultoria"/>
    <n v="2492.02"/>
    <s v="PIX"/>
    <s v="Camila"/>
    <n v="15"/>
    <d v="2026-05-15T00:00:00"/>
    <x v="1"/>
    <d v="2026-05-24T00:00:00"/>
    <n v="2492.02"/>
    <n v="0"/>
    <n v="0"/>
    <s v="2026-04"/>
  </r>
  <r>
    <d v="2026-05-01T00:00:00"/>
    <s v="NF-10194"/>
    <s v="Maxi Atacado"/>
    <s v="Financeiro"/>
    <s v="Consultoria"/>
    <n v="1233.2"/>
    <s v="PIX"/>
    <s v="Lucas"/>
    <n v="30"/>
    <d v="2026-05-31T00:00:00"/>
    <x v="0"/>
    <m/>
    <n v="0"/>
    <n v="1233.2"/>
    <n v="0"/>
    <s v="2026-05"/>
  </r>
  <r>
    <d v="2026-05-01T00:00:00"/>
    <s v="NF-10197"/>
    <s v="Beta Distribuidora"/>
    <s v="Operações"/>
    <s v="Software"/>
    <n v="960.05"/>
    <s v="Transferência"/>
    <s v="Fernanda"/>
    <n v="7"/>
    <d v="2026-05-08T00:00:00"/>
    <x v="1"/>
    <d v="2026-05-14T00:00:00"/>
    <n v="960.05"/>
    <n v="0"/>
    <n v="0"/>
    <s v="2026-05"/>
  </r>
  <r>
    <d v="2026-05-02T00:00:00"/>
    <s v="NF-10009"/>
    <s v="Beta Distribuidora"/>
    <s v="Financeiro"/>
    <s v="Material de Escritório"/>
    <n v="455.54"/>
    <s v="Boleto"/>
    <s v="Bruno"/>
    <n v="15"/>
    <d v="2026-05-17T00:00:00"/>
    <x v="1"/>
    <d v="2026-05-17T00:00:00"/>
    <n v="455.54"/>
    <n v="0"/>
    <n v="0"/>
    <s v="2026-05"/>
  </r>
  <r>
    <d v="2026-05-02T00:00:00"/>
    <s v="NF-10510"/>
    <s v="Aparecida Comercial"/>
    <s v="Operações"/>
    <s v="Consultoria"/>
    <n v="3384.15"/>
    <s v="PIX"/>
    <s v="Lucas"/>
    <n v="15"/>
    <d v="2026-05-17T00:00:00"/>
    <x v="0"/>
    <m/>
    <n v="0"/>
    <n v="3384.15"/>
    <n v="0"/>
    <s v="2026-05"/>
  </r>
  <r>
    <d v="2026-05-03T00:00:00"/>
    <s v="NF-10249"/>
    <s v="Central Materiais"/>
    <s v="Comercial"/>
    <s v="Serviços"/>
    <n v="4962.53"/>
    <s v="Boleto"/>
    <s v="Fernanda"/>
    <n v="15"/>
    <d v="2026-05-18T00:00:00"/>
    <x v="1"/>
    <d v="2026-05-29T00:00:00"/>
    <n v="4962.53"/>
    <n v="0"/>
    <n v="0"/>
    <s v="2026-05"/>
  </r>
  <r>
    <d v="2026-05-03T00:00:00"/>
    <s v="NF-10124"/>
    <s v="Central Materiais"/>
    <s v="Comercial"/>
    <s v="Material de Escritório"/>
    <n v="1282.74"/>
    <s v="Boleto"/>
    <s v="Ana"/>
    <n v="7"/>
    <d v="2026-05-10T00:00:00"/>
    <x v="1"/>
    <d v="2026-05-17T00:00:00"/>
    <n v="1282.74"/>
    <n v="0"/>
    <n v="0"/>
    <s v="2026-05"/>
  </r>
  <r>
    <d v="2026-05-04T00:00:00"/>
    <s v="NF-10105"/>
    <s v="Aparecida Comercial"/>
    <s v="Financeiro"/>
    <s v="Software"/>
    <n v="2159.61"/>
    <s v="Cartão"/>
    <s v="Lucas"/>
    <n v="15"/>
    <d v="2026-05-19T00:00:00"/>
    <x v="1"/>
    <d v="2026-05-20T00:00:00"/>
    <n v="2159.61"/>
    <n v="0"/>
    <n v="0"/>
    <s v="2026-05"/>
  </r>
  <r>
    <d v="2026-05-04T00:00:00"/>
    <s v="NF-10490"/>
    <s v="Prime Serviços"/>
    <s v="Comercial"/>
    <s v="Material de Escritório"/>
    <n v="2169.7199999999998"/>
    <s v="Boleto"/>
    <s v="Diego"/>
    <n v="30"/>
    <d v="2026-06-03T00:00:00"/>
    <x v="1"/>
    <d v="2026-06-06T00:00:00"/>
    <n v="2169.7199999999998"/>
    <n v="0"/>
    <n v="0"/>
    <s v="2026-05"/>
  </r>
  <r>
    <d v="2026-05-04T00:00:00"/>
    <s v="NF-10261"/>
    <s v="Prime Serviços"/>
    <s v="Operações"/>
    <s v="Consultoria"/>
    <n v="609.04"/>
    <s v="Transferência"/>
    <s v="Lucas"/>
    <n v="30"/>
    <d v="2026-06-03T00:00:00"/>
    <x v="1"/>
    <d v="2026-06-06T00:00:00"/>
    <n v="609.04"/>
    <n v="0"/>
    <n v="0"/>
    <s v="2026-05"/>
  </r>
  <r>
    <d v="2026-05-04T00:00:00"/>
    <s v="NF-10573"/>
    <s v="Central Materiais"/>
    <s v="Financeiro"/>
    <s v="Software"/>
    <n v="2452.02"/>
    <s v="Boleto"/>
    <s v="Camila"/>
    <n v="30"/>
    <d v="2026-06-03T00:00:00"/>
    <x v="0"/>
    <m/>
    <n v="0"/>
    <n v="2452.02"/>
    <n v="0"/>
    <s v="2026-05"/>
  </r>
  <r>
    <d v="2026-05-04T00:00:00"/>
    <s v="NF-10157"/>
    <s v="Alfa Comércio Ltda."/>
    <s v="Financeiro"/>
    <s v="Serviços"/>
    <n v="540.34"/>
    <s v="Transferência"/>
    <s v="Bruno"/>
    <n v="30"/>
    <d v="2026-06-03T00:00:00"/>
    <x v="1"/>
    <d v="2026-06-03T00:00:00"/>
    <n v="540.34"/>
    <n v="0"/>
    <n v="0"/>
    <s v="2026-05"/>
  </r>
  <r>
    <d v="2026-05-04T00:00:00"/>
    <s v="NF-10388"/>
    <s v="Goiás Office"/>
    <s v="Operações"/>
    <s v="Serviços"/>
    <n v="1535.24"/>
    <s v="Boleto"/>
    <s v="Camila"/>
    <n v="15"/>
    <d v="2026-05-19T00:00:00"/>
    <x v="1"/>
    <d v="2026-05-19T00:00:00"/>
    <n v="1535.24"/>
    <n v="0"/>
    <n v="0"/>
    <s v="2026-05"/>
  </r>
  <r>
    <d v="2026-05-05T00:00:00"/>
    <s v="NF-10458"/>
    <s v="Prime Serviços"/>
    <s v="Financeiro"/>
    <s v="Software"/>
    <n v="1620.71"/>
    <s v="PIX"/>
    <s v="Diego"/>
    <n v="45"/>
    <d v="2026-06-19T00:00:00"/>
    <x v="1"/>
    <d v="2026-06-24T00:00:00"/>
    <n v="1620.71"/>
    <n v="0"/>
    <n v="0"/>
    <s v="2026-05"/>
  </r>
  <r>
    <d v="2026-05-06T00:00:00"/>
    <s v="NF-10238"/>
    <s v="NovaTech Soluções"/>
    <s v="Comercial"/>
    <s v="Material de Escritório"/>
    <n v="1401.58"/>
    <s v="Transferência"/>
    <s v="Fernanda"/>
    <n v="7"/>
    <d v="2026-05-13T00:00:00"/>
    <x v="1"/>
    <d v="2026-05-17T00:00:00"/>
    <n v="1401.58"/>
    <n v="0"/>
    <n v="0"/>
    <s v="2026-05"/>
  </r>
  <r>
    <d v="2026-05-06T00:00:00"/>
    <s v="NF-10514"/>
    <s v="Maxi Atacado"/>
    <s v="Comercial"/>
    <s v="Material de Escritório"/>
    <n v="1536.97"/>
    <s v="Cartão"/>
    <s v="Fernanda"/>
    <n v="30"/>
    <d v="2026-06-05T00:00:00"/>
    <x v="1"/>
    <d v="2026-06-13T00:00:00"/>
    <n v="1536.97"/>
    <n v="0"/>
    <n v="0"/>
    <s v="2026-05"/>
  </r>
  <r>
    <d v="2026-05-07T00:00:00"/>
    <s v="NF-10417"/>
    <s v="Maxi Atacado"/>
    <s v="Financeiro"/>
    <s v="Consultoria"/>
    <n v="1772.01"/>
    <s v="Cartão"/>
    <s v="Bruno"/>
    <n v="30"/>
    <d v="2026-06-06T00:00:00"/>
    <x v="2"/>
    <m/>
    <n v="0"/>
    <n v="1772.01"/>
    <n v="79"/>
    <s v="2026-05"/>
  </r>
  <r>
    <d v="2026-05-07T00:00:00"/>
    <s v="NF-10505"/>
    <s v="Alfa Comércio Ltda."/>
    <s v="Comercial"/>
    <s v="Material de Escritório"/>
    <n v="663.95"/>
    <s v="Cartão"/>
    <s v="Fernanda"/>
    <n v="15"/>
    <d v="2026-05-22T00:00:00"/>
    <x v="1"/>
    <d v="2026-05-31T00:00:00"/>
    <n v="663.95"/>
    <n v="0"/>
    <n v="0"/>
    <s v="2026-05"/>
  </r>
  <r>
    <d v="2026-05-08T00:00:00"/>
    <s v="NF-10330"/>
    <s v="Goiás Office"/>
    <s v="Financeiro"/>
    <s v="Software"/>
    <n v="1435.14"/>
    <s v="Boleto"/>
    <s v="Bruno"/>
    <n v="15"/>
    <d v="2026-05-23T00:00:00"/>
    <x v="1"/>
    <d v="2026-05-30T00:00:00"/>
    <n v="1435.14"/>
    <n v="0"/>
    <n v="0"/>
    <s v="2026-05"/>
  </r>
  <r>
    <d v="2026-05-08T00:00:00"/>
    <s v="NF-10346"/>
    <s v="NovaTech Soluções"/>
    <s v="Administrativo"/>
    <s v="Material de Escritório"/>
    <n v="284.33999999999997"/>
    <s v="Cartão"/>
    <s v="Bruno"/>
    <n v="7"/>
    <d v="2026-05-15T00:00:00"/>
    <x v="0"/>
    <m/>
    <n v="0"/>
    <n v="284.33999999999997"/>
    <n v="0"/>
    <s v="2026-05"/>
  </r>
  <r>
    <d v="2026-05-08T00:00:00"/>
    <s v="NF-10351"/>
    <s v="Alfa Comércio Ltda."/>
    <s v="Operações"/>
    <s v="Consultoria"/>
    <n v="2333.0100000000002"/>
    <s v="Boleto"/>
    <s v="Lucas"/>
    <n v="7"/>
    <d v="2026-05-15T00:00:00"/>
    <x v="1"/>
    <d v="2026-05-15T00:00:00"/>
    <n v="2333.0100000000002"/>
    <n v="0"/>
    <n v="0"/>
    <s v="2026-05"/>
  </r>
  <r>
    <d v="2026-05-08T00:00:00"/>
    <s v="NF-10402"/>
    <s v="Sul Center"/>
    <s v="Operações"/>
    <s v="Material de Escritório"/>
    <n v="2770.3"/>
    <s v="Transferência"/>
    <s v="Ana"/>
    <n v="15"/>
    <d v="2026-05-23T00:00:00"/>
    <x v="1"/>
    <d v="2026-05-31T00:00:00"/>
    <n v="2770.3"/>
    <n v="0"/>
    <n v="0"/>
    <s v="2026-05"/>
  </r>
  <r>
    <d v="2026-05-08T00:00:00"/>
    <s v="NF-10566"/>
    <s v="Prime Serviços"/>
    <s v="Comercial"/>
    <s v="Material de Escritório"/>
    <n v="852.31"/>
    <s v="Cartão"/>
    <s v="Fernanda"/>
    <n v="30"/>
    <d v="2026-06-07T00:00:00"/>
    <x v="1"/>
    <d v="2026-06-16T00:00:00"/>
    <n v="852.31"/>
    <n v="0"/>
    <n v="0"/>
    <s v="2026-05"/>
  </r>
  <r>
    <d v="2026-05-08T00:00:00"/>
    <s v="NF-10280"/>
    <s v="Prime Serviços"/>
    <s v="Comercial"/>
    <s v="Material de Escritório"/>
    <n v="1903.72"/>
    <s v="Cartão"/>
    <s v="Bruno"/>
    <n v="15"/>
    <d v="2026-05-23T00:00:00"/>
    <x v="1"/>
    <d v="2026-05-30T00:00:00"/>
    <n v="1903.72"/>
    <n v="0"/>
    <n v="0"/>
    <s v="2026-05"/>
  </r>
  <r>
    <d v="2026-05-08T00:00:00"/>
    <s v="NF-10190"/>
    <s v="Sul Center"/>
    <s v="Operações"/>
    <s v="Consultoria"/>
    <n v="956.27"/>
    <s v="PIX"/>
    <s v="Camila"/>
    <n v="30"/>
    <d v="2026-06-07T00:00:00"/>
    <x v="1"/>
    <d v="2026-06-12T00:00:00"/>
    <n v="956.27"/>
    <n v="0"/>
    <n v="0"/>
    <s v="2026-05"/>
  </r>
  <r>
    <d v="2026-05-09T00:00:00"/>
    <s v="NF-10519"/>
    <s v="Jardim Suprimentos"/>
    <s v="Comercial"/>
    <s v="Serviços"/>
    <n v="1514.8"/>
    <s v="Cartão"/>
    <s v="Fernanda"/>
    <n v="30"/>
    <d v="2026-06-08T00:00:00"/>
    <x v="1"/>
    <d v="2026-06-14T00:00:00"/>
    <n v="1514.8"/>
    <n v="0"/>
    <n v="0"/>
    <s v="2026-05"/>
  </r>
  <r>
    <d v="2026-05-09T00:00:00"/>
    <s v="NF-10508"/>
    <s v="Nexus Consultoria"/>
    <s v="Comercial"/>
    <s v="Consultoria"/>
    <n v="1410.01"/>
    <s v="Transferência"/>
    <s v="Bruno"/>
    <n v="15"/>
    <d v="2026-05-24T00:00:00"/>
    <x v="0"/>
    <m/>
    <n v="0"/>
    <n v="1410.01"/>
    <n v="0"/>
    <s v="2026-05"/>
  </r>
  <r>
    <d v="2026-05-09T00:00:00"/>
    <s v="NF-10299"/>
    <s v="Alfa Comércio Ltda."/>
    <s v="Comercial"/>
    <s v="Consultoria"/>
    <n v="2244.75"/>
    <s v="Boleto"/>
    <s v="Fernanda"/>
    <n v="30"/>
    <d v="2026-06-08T00:00:00"/>
    <x v="1"/>
    <d v="2026-06-12T00:00:00"/>
    <n v="2244.75"/>
    <n v="0"/>
    <n v="0"/>
    <s v="2026-05"/>
  </r>
  <r>
    <d v="2026-05-09T00:00:00"/>
    <s v="NF-10115"/>
    <s v="Jardim Suprimentos"/>
    <s v="Operações"/>
    <s v="Serviços"/>
    <n v="1472.73"/>
    <s v="Transferência"/>
    <s v="Camila"/>
    <n v="30"/>
    <d v="2026-06-08T00:00:00"/>
    <x v="1"/>
    <d v="2026-06-08T00:00:00"/>
    <n v="1472.73"/>
    <n v="0"/>
    <n v="0"/>
    <s v="2026-05"/>
  </r>
  <r>
    <d v="2026-05-09T00:00:00"/>
    <s v="NF-10193"/>
    <s v="Central Materiais"/>
    <s v="Financeiro"/>
    <s v="Serviços"/>
    <n v="682.43"/>
    <s v="Transferência"/>
    <s v="Ana"/>
    <n v="7"/>
    <d v="2026-05-16T00:00:00"/>
    <x v="1"/>
    <d v="2026-05-23T00:00:00"/>
    <n v="682.43"/>
    <n v="0"/>
    <n v="0"/>
    <s v="2026-05"/>
  </r>
  <r>
    <d v="2026-05-09T00:00:00"/>
    <s v="NF-10284"/>
    <s v="Beta Distribuidora"/>
    <s v="Comercial"/>
    <s v="Equipamentos"/>
    <n v="1939.3"/>
    <s v="PIX"/>
    <s v="Fernanda"/>
    <n v="7"/>
    <d v="2026-05-16T00:00:00"/>
    <x v="1"/>
    <d v="2026-05-19T00:00:00"/>
    <n v="1939.3"/>
    <n v="0"/>
    <n v="0"/>
    <s v="2026-05"/>
  </r>
  <r>
    <d v="2026-05-09T00:00:00"/>
    <s v="NF-10236"/>
    <s v="NovaTech Soluções"/>
    <s v="Financeiro"/>
    <s v="Consultoria"/>
    <n v="2162.2199999999998"/>
    <s v="Cartão"/>
    <s v="Ana"/>
    <n v="30"/>
    <d v="2026-06-08T00:00:00"/>
    <x v="0"/>
    <m/>
    <n v="0"/>
    <n v="2162.2199999999998"/>
    <n v="0"/>
    <s v="2026-05"/>
  </r>
  <r>
    <d v="2026-05-10T00:00:00"/>
    <s v="NF-10593"/>
    <s v="Alfa Comércio Ltda."/>
    <s v="Administrativo"/>
    <s v="Serviços"/>
    <n v="933.87"/>
    <s v="PIX"/>
    <s v="Fernanda"/>
    <n v="7"/>
    <d v="2026-05-17T00:00:00"/>
    <x v="1"/>
    <d v="2026-05-26T00:00:00"/>
    <n v="933.87"/>
    <n v="0"/>
    <n v="0"/>
    <s v="2026-05"/>
  </r>
  <r>
    <d v="2026-05-10T00:00:00"/>
    <s v="NF-10223"/>
    <s v="Beta Distribuidora"/>
    <s v="Operações"/>
    <s v="Software"/>
    <n v="2872.46"/>
    <s v="Cartão"/>
    <s v="Diego"/>
    <n v="30"/>
    <d v="2026-06-09T00:00:00"/>
    <x v="1"/>
    <d v="2026-06-20T00:00:00"/>
    <n v="2872.46"/>
    <n v="0"/>
    <n v="0"/>
    <s v="2026-05"/>
  </r>
  <r>
    <d v="2026-05-10T00:00:00"/>
    <s v="NF-10239"/>
    <s v="NovaTech Soluções"/>
    <s v="Financeiro"/>
    <s v="Serviços"/>
    <n v="2636.78"/>
    <s v="Boleto"/>
    <s v="Lucas"/>
    <n v="30"/>
    <d v="2026-06-09T00:00:00"/>
    <x v="1"/>
    <d v="2026-06-20T00:00:00"/>
    <n v="2636.78"/>
    <n v="0"/>
    <n v="0"/>
    <s v="2026-05"/>
  </r>
  <r>
    <d v="2026-05-10T00:00:00"/>
    <s v="NF-10419"/>
    <s v="Capital Empresarial"/>
    <s v="Comercial"/>
    <s v="Software"/>
    <n v="1664.74"/>
    <s v="Boleto"/>
    <s v="Bruno"/>
    <n v="15"/>
    <d v="2026-05-25T00:00:00"/>
    <x v="2"/>
    <m/>
    <n v="0"/>
    <n v="1664.74"/>
    <n v="91"/>
    <s v="2026-05"/>
  </r>
  <r>
    <d v="2026-05-10T00:00:00"/>
    <s v="NF-10062"/>
    <s v="Central Materiais"/>
    <s v="Comercial"/>
    <s v="Consultoria"/>
    <n v="862.33"/>
    <s v="PIX"/>
    <s v="Ana"/>
    <n v="15"/>
    <d v="2026-05-25T00:00:00"/>
    <x v="1"/>
    <d v="2026-06-03T00:00:00"/>
    <n v="862.33"/>
    <n v="0"/>
    <n v="0"/>
    <s v="2026-05"/>
  </r>
  <r>
    <d v="2026-05-10T00:00:00"/>
    <s v="NF-10025"/>
    <s v="Beta Distribuidora"/>
    <s v="Financeiro"/>
    <s v="Software"/>
    <n v="423.18"/>
    <s v="Cartão"/>
    <s v="Bruno"/>
    <n v="15"/>
    <d v="2026-05-25T00:00:00"/>
    <x v="1"/>
    <d v="2026-05-25T00:00:00"/>
    <n v="423.18"/>
    <n v="0"/>
    <n v="0"/>
    <s v="2026-05"/>
  </r>
  <r>
    <d v="2026-05-10T00:00:00"/>
    <s v="NF-10233"/>
    <s v="NovaTech Soluções"/>
    <s v="Financeiro"/>
    <s v="Serviços"/>
    <n v="1013.59"/>
    <s v="Transferência"/>
    <s v="Bruno"/>
    <n v="30"/>
    <d v="2026-06-09T00:00:00"/>
    <x v="0"/>
    <m/>
    <n v="0"/>
    <n v="1013.59"/>
    <n v="0"/>
    <s v="2026-05"/>
  </r>
  <r>
    <d v="2026-05-11T00:00:00"/>
    <s v="NF-10310"/>
    <s v="NovaTech Soluções"/>
    <s v="Operações"/>
    <s v="Software"/>
    <n v="1285.5"/>
    <s v="PIX"/>
    <s v="Diego"/>
    <n v="30"/>
    <d v="2026-06-10T00:00:00"/>
    <x v="1"/>
    <d v="2026-06-15T00:00:00"/>
    <n v="1285.5"/>
    <n v="0"/>
    <n v="0"/>
    <s v="2026-05"/>
  </r>
  <r>
    <d v="2026-05-11T00:00:00"/>
    <s v="NF-10146"/>
    <s v="Jardim Suprimentos"/>
    <s v="Comercial"/>
    <s v="Software"/>
    <n v="777.02"/>
    <s v="Boleto"/>
    <s v="Bruno"/>
    <n v="15"/>
    <d v="2026-05-26T00:00:00"/>
    <x v="2"/>
    <m/>
    <n v="0"/>
    <n v="777.02"/>
    <n v="90"/>
    <s v="2026-05"/>
  </r>
  <r>
    <d v="2026-05-11T00:00:00"/>
    <s v="NF-10224"/>
    <s v="Sul Center"/>
    <s v="Financeiro"/>
    <s v="Consultoria"/>
    <n v="764.91"/>
    <s v="PIX"/>
    <s v="Lucas"/>
    <n v="45"/>
    <d v="2026-06-25T00:00:00"/>
    <x v="1"/>
    <d v="2026-06-25T00:00:00"/>
    <n v="764.91"/>
    <n v="0"/>
    <n v="0"/>
    <s v="2026-05"/>
  </r>
  <r>
    <d v="2026-05-11T00:00:00"/>
    <s v="NF-10048"/>
    <s v="Sul Center"/>
    <s v="Financeiro"/>
    <s v="Consultoria"/>
    <n v="3886.68"/>
    <s v="Cartão"/>
    <s v="Diego"/>
    <n v="30"/>
    <d v="2026-06-10T00:00:00"/>
    <x v="1"/>
    <d v="2026-06-16T00:00:00"/>
    <n v="3886.68"/>
    <n v="0"/>
    <n v="0"/>
    <s v="2026-05"/>
  </r>
  <r>
    <d v="2026-05-11T00:00:00"/>
    <s v="NF-10018"/>
    <s v="NovaTech Soluções"/>
    <s v="Comercial"/>
    <s v="Consultoria"/>
    <n v="4123.38"/>
    <s v="Boleto"/>
    <s v="Bruno"/>
    <n v="15"/>
    <d v="2026-05-26T00:00:00"/>
    <x v="1"/>
    <d v="2026-06-04T00:00:00"/>
    <n v="4123.38"/>
    <n v="0"/>
    <n v="0"/>
    <s v="2026-05"/>
  </r>
  <r>
    <d v="2026-05-12T00:00:00"/>
    <s v="NF-10164"/>
    <s v="Jardim Suprimentos"/>
    <s v="Administrativo"/>
    <s v="Software"/>
    <n v="657.22"/>
    <s v="Boleto"/>
    <s v="Camila"/>
    <n v="30"/>
    <d v="2026-06-11T00:00:00"/>
    <x v="1"/>
    <d v="2026-06-11T00:00:00"/>
    <n v="657.22"/>
    <n v="0"/>
    <n v="0"/>
    <s v="2026-05"/>
  </r>
  <r>
    <d v="2026-05-12T00:00:00"/>
    <s v="NF-10077"/>
    <s v="Aparecida Comercial"/>
    <s v="Administrativo"/>
    <s v="Material de Escritório"/>
    <n v="1074.6400000000001"/>
    <s v="Boleto"/>
    <s v="Camila"/>
    <n v="30"/>
    <d v="2026-06-11T00:00:00"/>
    <x v="1"/>
    <d v="2026-06-11T00:00:00"/>
    <n v="1074.6400000000001"/>
    <n v="0"/>
    <n v="0"/>
    <s v="2026-05"/>
  </r>
  <r>
    <d v="2026-05-12T00:00:00"/>
    <s v="NF-10055"/>
    <s v="Goiás Office"/>
    <s v="Operações"/>
    <s v="Serviços"/>
    <n v="2229.6999999999998"/>
    <s v="Cartão"/>
    <s v="Ana"/>
    <n v="30"/>
    <d v="2026-06-11T00:00:00"/>
    <x v="0"/>
    <m/>
    <n v="0"/>
    <n v="2229.6999999999998"/>
    <n v="0"/>
    <s v="2026-05"/>
  </r>
  <r>
    <d v="2026-05-14T00:00:00"/>
    <s v="NF-10181"/>
    <s v="Beta Distribuidora"/>
    <s v="Administrativo"/>
    <s v="Consultoria"/>
    <n v="1805.65"/>
    <s v="Cartão"/>
    <s v="Bruno"/>
    <n v="30"/>
    <d v="2026-06-13T00:00:00"/>
    <x v="1"/>
    <d v="2026-06-18T00:00:00"/>
    <n v="1805.65"/>
    <n v="0"/>
    <n v="0"/>
    <s v="2026-05"/>
  </r>
  <r>
    <d v="2026-05-14T00:00:00"/>
    <s v="NF-10079"/>
    <s v="Jardim Suprimentos"/>
    <s v="Financeiro"/>
    <s v="Serviços"/>
    <n v="1397.77"/>
    <s v="Boleto"/>
    <s v="Lucas"/>
    <n v="30"/>
    <d v="2026-06-13T00:00:00"/>
    <x v="2"/>
    <m/>
    <n v="0"/>
    <n v="1397.77"/>
    <n v="72"/>
    <s v="2026-05"/>
  </r>
  <r>
    <d v="2026-05-15T00:00:00"/>
    <s v="NF-10128"/>
    <s v="Aparecida Comercial"/>
    <s v="Comercial"/>
    <s v="Consultoria"/>
    <n v="840.01"/>
    <s v="PIX"/>
    <s v="Bruno"/>
    <n v="30"/>
    <d v="2026-06-14T00:00:00"/>
    <x v="2"/>
    <m/>
    <n v="0"/>
    <n v="840.01"/>
    <n v="71"/>
    <s v="2026-05"/>
  </r>
  <r>
    <d v="2026-05-15T00:00:00"/>
    <s v="NF-10348"/>
    <s v="Maxi Atacado"/>
    <s v="Operações"/>
    <s v="Software"/>
    <n v="972.6"/>
    <s v="Boleto"/>
    <s v="Camila"/>
    <n v="15"/>
    <d v="2026-05-30T00:00:00"/>
    <x v="0"/>
    <m/>
    <n v="0"/>
    <n v="972.6"/>
    <n v="0"/>
    <s v="2026-05"/>
  </r>
  <r>
    <d v="2026-05-15T00:00:00"/>
    <s v="NF-10050"/>
    <s v="Maxi Atacado"/>
    <s v="Administrativo"/>
    <s v="Serviços"/>
    <n v="1556.36"/>
    <s v="PIX"/>
    <s v="Lucas"/>
    <n v="15"/>
    <d v="2026-05-30T00:00:00"/>
    <x v="0"/>
    <m/>
    <n v="0"/>
    <n v="1556.36"/>
    <n v="0"/>
    <s v="2026-05"/>
  </r>
  <r>
    <d v="2026-05-15T00:00:00"/>
    <s v="NF-10435"/>
    <s v="NovaTech Soluções"/>
    <s v="Administrativo"/>
    <s v="Serviços"/>
    <n v="2686.73"/>
    <s v="Boleto"/>
    <s v="Ana"/>
    <n v="45"/>
    <d v="2026-06-29T00:00:00"/>
    <x v="1"/>
    <d v="2026-06-30T00:00:00"/>
    <n v="2686.73"/>
    <n v="0"/>
    <n v="0"/>
    <s v="2026-05"/>
  </r>
  <r>
    <d v="2026-05-16T00:00:00"/>
    <s v="NF-10120"/>
    <s v="Goiás Office"/>
    <s v="Operações"/>
    <s v="Consultoria"/>
    <n v="1088.5999999999999"/>
    <s v="PIX"/>
    <s v="Diego"/>
    <n v="30"/>
    <d v="2026-06-15T00:00:00"/>
    <x v="1"/>
    <d v="2026-06-16T00:00:00"/>
    <n v="1088.5999999999999"/>
    <n v="0"/>
    <n v="0"/>
    <s v="2026-05"/>
  </r>
  <r>
    <d v="2026-05-16T00:00:00"/>
    <s v="NF-10116"/>
    <s v="Capital Empresarial"/>
    <s v="Operações"/>
    <s v="Material de Escritório"/>
    <n v="990.48"/>
    <s v="Transferência"/>
    <s v="Bruno"/>
    <n v="30"/>
    <d v="2026-06-15T00:00:00"/>
    <x v="1"/>
    <d v="2026-06-23T00:00:00"/>
    <n v="990.48"/>
    <n v="0"/>
    <n v="0"/>
    <s v="2026-05"/>
  </r>
  <r>
    <d v="2026-05-16T00:00:00"/>
    <s v="NF-10347"/>
    <s v="Sul Center"/>
    <s v="Comercial"/>
    <s v="Consultoria"/>
    <n v="524.92999999999995"/>
    <s v="Boleto"/>
    <s v="Ana"/>
    <n v="15"/>
    <d v="2026-05-31T00:00:00"/>
    <x v="2"/>
    <m/>
    <n v="0"/>
    <n v="524.92999999999995"/>
    <n v="85"/>
    <s v="2026-05"/>
  </r>
  <r>
    <d v="2026-05-17T00:00:00"/>
    <s v="NF-10152"/>
    <s v="Central Materiais"/>
    <s v="Administrativo"/>
    <s v="Equipamentos"/>
    <n v="1590.07"/>
    <s v="Boleto"/>
    <s v="Bruno"/>
    <n v="30"/>
    <d v="2026-06-16T00:00:00"/>
    <x v="1"/>
    <d v="2026-06-16T00:00:00"/>
    <n v="1590.07"/>
    <n v="0"/>
    <n v="0"/>
    <s v="2026-05"/>
  </r>
  <r>
    <d v="2026-05-17T00:00:00"/>
    <s v="NF-10423"/>
    <s v="Central Materiais"/>
    <s v="Financeiro"/>
    <s v="Serviços"/>
    <n v="1439.8"/>
    <s v="Boleto"/>
    <s v="Camila"/>
    <n v="15"/>
    <d v="2026-06-01T00:00:00"/>
    <x v="1"/>
    <d v="2026-06-04T00:00:00"/>
    <n v="1439.8"/>
    <n v="0"/>
    <n v="0"/>
    <s v="2026-05"/>
  </r>
  <r>
    <d v="2026-05-17T00:00:00"/>
    <s v="NF-10205"/>
    <s v="Jardim Suprimentos"/>
    <s v="Operações"/>
    <s v="Serviços"/>
    <n v="2673.63"/>
    <s v="PIX"/>
    <s v="Fernanda"/>
    <n v="15"/>
    <d v="2026-06-01T00:00:00"/>
    <x v="1"/>
    <d v="2026-06-11T00:00:00"/>
    <n v="2673.63"/>
    <n v="0"/>
    <n v="0"/>
    <s v="2026-05"/>
  </r>
  <r>
    <d v="2026-05-17T00:00:00"/>
    <s v="NF-10506"/>
    <s v="Sul Center"/>
    <s v="Administrativo"/>
    <s v="Consultoria"/>
    <n v="2381.65"/>
    <s v="PIX"/>
    <s v="Ana"/>
    <n v="30"/>
    <d v="2026-06-16T00:00:00"/>
    <x v="1"/>
    <d v="2026-06-25T00:00:00"/>
    <n v="2381.65"/>
    <n v="0"/>
    <n v="0"/>
    <s v="2026-05"/>
  </r>
  <r>
    <d v="2026-05-18T00:00:00"/>
    <s v="NF-10555"/>
    <s v="Sul Center"/>
    <s v="Comercial"/>
    <s v="Software"/>
    <n v="1744.03"/>
    <s v="Cartão"/>
    <s v="Bruno"/>
    <n v="15"/>
    <d v="2026-06-02T00:00:00"/>
    <x v="1"/>
    <d v="2026-06-11T00:00:00"/>
    <n v="1744.03"/>
    <n v="0"/>
    <n v="0"/>
    <s v="2026-05"/>
  </r>
  <r>
    <d v="2026-05-19T00:00:00"/>
    <s v="NF-10118"/>
    <s v="Goiás Office"/>
    <s v="Operações"/>
    <s v="Material de Escritório"/>
    <n v="2150.61"/>
    <s v="Cartão"/>
    <s v="Ana"/>
    <n v="30"/>
    <d v="2026-06-18T00:00:00"/>
    <x v="1"/>
    <d v="2026-06-21T00:00:00"/>
    <n v="2150.61"/>
    <n v="0"/>
    <n v="0"/>
    <s v="2026-05"/>
  </r>
  <r>
    <d v="2026-05-19T00:00:00"/>
    <s v="NF-10257"/>
    <s v="Capital Empresarial"/>
    <s v="Financeiro"/>
    <s v="Equipamentos"/>
    <n v="1858.42"/>
    <s v="Boleto"/>
    <s v="Camila"/>
    <n v="15"/>
    <d v="2026-06-03T00:00:00"/>
    <x v="1"/>
    <d v="2026-06-14T00:00:00"/>
    <n v="1858.42"/>
    <n v="0"/>
    <n v="0"/>
    <s v="2026-05"/>
  </r>
  <r>
    <d v="2026-05-20T00:00:00"/>
    <s v="NF-10570"/>
    <s v="Goiás Office"/>
    <s v="Administrativo"/>
    <s v="Serviços"/>
    <n v="873.94"/>
    <s v="Boleto"/>
    <s v="Camila"/>
    <n v="30"/>
    <d v="2026-06-19T00:00:00"/>
    <x v="1"/>
    <d v="2026-06-23T00:00:00"/>
    <n v="873.94"/>
    <n v="0"/>
    <n v="0"/>
    <s v="2026-05"/>
  </r>
  <r>
    <d v="2026-05-20T00:00:00"/>
    <s v="NF-10301"/>
    <s v="Central Materiais"/>
    <s v="Comercial"/>
    <s v="Software"/>
    <n v="5792.83"/>
    <s v="Cartão"/>
    <s v="Fernanda"/>
    <n v="7"/>
    <d v="2026-05-27T00:00:00"/>
    <x v="2"/>
    <m/>
    <n v="0"/>
    <n v="5792.83"/>
    <n v="89"/>
    <s v="2026-05"/>
  </r>
  <r>
    <d v="2026-05-20T00:00:00"/>
    <s v="NF-10507"/>
    <s v="Jardim Suprimentos"/>
    <s v="Comercial"/>
    <s v="Software"/>
    <n v="2237.1"/>
    <s v="Transferência"/>
    <s v="Diego"/>
    <n v="15"/>
    <d v="2026-06-04T00:00:00"/>
    <x v="2"/>
    <m/>
    <n v="0"/>
    <n v="2237.1"/>
    <n v="81"/>
    <s v="2026-05"/>
  </r>
  <r>
    <d v="2026-05-21T00:00:00"/>
    <s v="NF-10589"/>
    <s v="Capital Empresarial"/>
    <s v="Administrativo"/>
    <s v="Serviços"/>
    <n v="1199.5899999999999"/>
    <s v="PIX"/>
    <s v="Fernanda"/>
    <n v="7"/>
    <d v="2026-05-28T00:00:00"/>
    <x v="1"/>
    <d v="2026-06-05T00:00:00"/>
    <n v="1199.5899999999999"/>
    <n v="0"/>
    <n v="0"/>
    <s v="2026-05"/>
  </r>
  <r>
    <d v="2026-05-22T00:00:00"/>
    <s v="NF-10342"/>
    <s v="Prime Serviços"/>
    <s v="Operações"/>
    <s v="Material de Escritório"/>
    <n v="2845.12"/>
    <s v="Transferência"/>
    <s v="Lucas"/>
    <n v="30"/>
    <d v="2026-06-21T00:00:00"/>
    <x v="1"/>
    <d v="2026-06-29T00:00:00"/>
    <n v="2845.12"/>
    <n v="0"/>
    <n v="0"/>
    <s v="2026-05"/>
  </r>
  <r>
    <d v="2026-05-22T00:00:00"/>
    <s v="NF-10149"/>
    <s v="Central Materiais"/>
    <s v="Administrativo"/>
    <s v="Material de Escritório"/>
    <n v="666.64"/>
    <s v="PIX"/>
    <s v="Fernanda"/>
    <n v="15"/>
    <d v="2026-06-06T00:00:00"/>
    <x v="1"/>
    <d v="2026-06-10T00:00:00"/>
    <n v="666.64"/>
    <n v="0"/>
    <n v="0"/>
    <s v="2026-05"/>
  </r>
  <r>
    <d v="2026-05-22T00:00:00"/>
    <s v="NF-10443"/>
    <s v="Sul Center"/>
    <s v="Financeiro"/>
    <s v="Material de Escritório"/>
    <n v="1659.71"/>
    <s v="Transferência"/>
    <s v="Diego"/>
    <n v="30"/>
    <d v="2026-06-21T00:00:00"/>
    <x v="1"/>
    <d v="2026-06-29T00:00:00"/>
    <n v="1659.71"/>
    <n v="0"/>
    <n v="0"/>
    <s v="2026-05"/>
  </r>
  <r>
    <d v="2026-05-23T00:00:00"/>
    <s v="NF-10446"/>
    <s v="Goiás Office"/>
    <s v="Operações"/>
    <s v="Material de Escritório"/>
    <n v="957.61"/>
    <s v="Cartão"/>
    <s v="Lucas"/>
    <n v="15"/>
    <d v="2026-06-07T00:00:00"/>
    <x v="1"/>
    <d v="2026-06-12T00:00:00"/>
    <n v="957.61"/>
    <n v="0"/>
    <n v="0"/>
    <s v="2026-05"/>
  </r>
  <r>
    <d v="2026-05-23T00:00:00"/>
    <s v="NF-10166"/>
    <s v="Capital Empresarial"/>
    <s v="Administrativo"/>
    <s v="Consultoria"/>
    <n v="644.97"/>
    <s v="Boleto"/>
    <s v="Fernanda"/>
    <n v="15"/>
    <d v="2026-06-07T00:00:00"/>
    <x v="1"/>
    <d v="2026-06-13T00:00:00"/>
    <n v="644.97"/>
    <n v="0"/>
    <n v="0"/>
    <s v="2026-05"/>
  </r>
  <r>
    <d v="2026-05-24T00:00:00"/>
    <s v="NF-10293"/>
    <s v="Alfa Comércio Ltda."/>
    <s v="Comercial"/>
    <s v="Equipamentos"/>
    <n v="918.72"/>
    <s v="PIX"/>
    <s v="Diego"/>
    <n v="30"/>
    <d v="2026-06-23T00:00:00"/>
    <x v="1"/>
    <d v="2026-07-03T00:00:00"/>
    <n v="918.72"/>
    <n v="0"/>
    <n v="0"/>
    <s v="2026-05"/>
  </r>
  <r>
    <d v="2026-05-24T00:00:00"/>
    <s v="NF-10442"/>
    <s v="Aparecida Comercial"/>
    <s v="Operações"/>
    <s v="Equipamentos"/>
    <n v="665.86"/>
    <s v="PIX"/>
    <s v="Lucas"/>
    <n v="30"/>
    <d v="2026-06-23T00:00:00"/>
    <x v="1"/>
    <d v="2026-06-29T00:00:00"/>
    <n v="665.86"/>
    <n v="0"/>
    <n v="0"/>
    <s v="2026-05"/>
  </r>
  <r>
    <d v="2026-05-24T00:00:00"/>
    <s v="NF-10530"/>
    <s v="Jardim Suprimentos"/>
    <s v="Comercial"/>
    <s v="Serviços"/>
    <n v="2732.27"/>
    <s v="PIX"/>
    <s v="Lucas"/>
    <n v="30"/>
    <d v="2026-06-23T00:00:00"/>
    <x v="1"/>
    <d v="2026-06-24T00:00:00"/>
    <n v="2732.27"/>
    <n v="0"/>
    <n v="0"/>
    <s v="2026-05"/>
  </r>
  <r>
    <d v="2026-05-24T00:00:00"/>
    <s v="NF-10487"/>
    <s v="Jardim Suprimentos"/>
    <s v="Financeiro"/>
    <s v="Consultoria"/>
    <n v="596.51"/>
    <s v="PIX"/>
    <s v="Diego"/>
    <n v="30"/>
    <d v="2026-06-23T00:00:00"/>
    <x v="1"/>
    <d v="2026-06-30T00:00:00"/>
    <n v="596.51"/>
    <n v="0"/>
    <n v="0"/>
    <s v="2026-05"/>
  </r>
  <r>
    <d v="2026-05-24T00:00:00"/>
    <s v="NF-10258"/>
    <s v="Capital Empresarial"/>
    <s v="Administrativo"/>
    <s v="Software"/>
    <n v="2354.54"/>
    <s v="Boleto"/>
    <s v="Camila"/>
    <n v="30"/>
    <d v="2026-06-23T00:00:00"/>
    <x v="1"/>
    <d v="2026-06-30T00:00:00"/>
    <n v="2354.54"/>
    <n v="0"/>
    <n v="0"/>
    <s v="2026-05"/>
  </r>
  <r>
    <d v="2026-05-24T00:00:00"/>
    <s v="NF-10542"/>
    <s v="Sul Center"/>
    <s v="Comercial"/>
    <s v="Material de Escritório"/>
    <n v="475.71"/>
    <s v="Boleto"/>
    <s v="Fernanda"/>
    <n v="30"/>
    <d v="2026-06-23T00:00:00"/>
    <x v="1"/>
    <d v="2026-06-27T00:00:00"/>
    <n v="475.71"/>
    <n v="0"/>
    <n v="0"/>
    <s v="2026-05"/>
  </r>
  <r>
    <d v="2026-05-25T00:00:00"/>
    <s v="NF-10250"/>
    <s v="Alfa Comércio Ltda."/>
    <s v="Administrativo"/>
    <s v="Equipamentos"/>
    <n v="3746.67"/>
    <s v="PIX"/>
    <s v="Camila"/>
    <n v="30"/>
    <d v="2026-06-24T00:00:00"/>
    <x v="1"/>
    <d v="2026-06-25T00:00:00"/>
    <n v="3746.67"/>
    <n v="0"/>
    <n v="0"/>
    <s v="2026-05"/>
  </r>
  <r>
    <d v="2026-05-25T00:00:00"/>
    <s v="NF-10350"/>
    <s v="Beta Distribuidora"/>
    <s v="Comercial"/>
    <s v="Serviços"/>
    <n v="918.27"/>
    <s v="PIX"/>
    <s v="Diego"/>
    <n v="30"/>
    <d v="2026-06-24T00:00:00"/>
    <x v="2"/>
    <m/>
    <n v="0"/>
    <n v="918.27"/>
    <n v="61"/>
    <s v="2026-05"/>
  </r>
  <r>
    <d v="2026-05-25T00:00:00"/>
    <s v="NF-10494"/>
    <s v="NovaTech Soluções"/>
    <s v="Operações"/>
    <s v="Equipamentos"/>
    <n v="1249.77"/>
    <s v="Boleto"/>
    <s v="Diego"/>
    <n v="30"/>
    <d v="2026-06-24T00:00:00"/>
    <x v="1"/>
    <d v="2026-07-04T00:00:00"/>
    <n v="1249.77"/>
    <n v="0"/>
    <n v="0"/>
    <s v="2026-05"/>
  </r>
  <r>
    <d v="2026-05-26T00:00:00"/>
    <s v="NF-10329"/>
    <s v="Sul Center"/>
    <s v="Administrativo"/>
    <s v="Material de Escritório"/>
    <n v="489.46"/>
    <s v="Cartão"/>
    <s v="Lucas"/>
    <n v="30"/>
    <d v="2026-06-25T00:00:00"/>
    <x v="1"/>
    <d v="2026-07-04T00:00:00"/>
    <n v="489.46"/>
    <n v="0"/>
    <n v="0"/>
    <s v="2026-05"/>
  </r>
  <r>
    <d v="2026-05-26T00:00:00"/>
    <s v="NF-10085"/>
    <s v="Maxi Atacado"/>
    <s v="Financeiro"/>
    <s v="Serviços"/>
    <n v="971.71"/>
    <s v="PIX"/>
    <s v="Diego"/>
    <n v="7"/>
    <d v="2026-06-02T00:00:00"/>
    <x v="0"/>
    <m/>
    <n v="0"/>
    <n v="971.71"/>
    <n v="0"/>
    <s v="2026-05"/>
  </r>
  <r>
    <d v="2026-05-27T00:00:00"/>
    <s v="NF-10270"/>
    <s v="Jardim Suprimentos"/>
    <s v="Administrativo"/>
    <s v="Consultoria"/>
    <n v="570.27"/>
    <s v="PIX"/>
    <s v="Bruno"/>
    <n v="30"/>
    <d v="2026-06-26T00:00:00"/>
    <x v="1"/>
    <d v="2026-07-01T00:00:00"/>
    <n v="570.27"/>
    <n v="0"/>
    <n v="0"/>
    <s v="2026-05"/>
  </r>
  <r>
    <d v="2026-05-27T00:00:00"/>
    <s v="NF-10273"/>
    <s v="Aparecida Comercial"/>
    <s v="Administrativo"/>
    <s v="Serviços"/>
    <n v="1099.54"/>
    <s v="Transferência"/>
    <s v="Camila"/>
    <n v="15"/>
    <d v="2026-06-11T00:00:00"/>
    <x v="1"/>
    <d v="2026-06-12T00:00:00"/>
    <n v="1099.54"/>
    <n v="0"/>
    <n v="0"/>
    <s v="2026-05"/>
  </r>
  <r>
    <d v="2026-05-27T00:00:00"/>
    <s v="NF-10493"/>
    <s v="Capital Empresarial"/>
    <s v="Administrativo"/>
    <s v="Software"/>
    <n v="780.18"/>
    <s v="Boleto"/>
    <s v="Bruno"/>
    <n v="7"/>
    <d v="2026-06-03T00:00:00"/>
    <x v="1"/>
    <d v="2026-06-12T00:00:00"/>
    <n v="780.18"/>
    <n v="0"/>
    <n v="0"/>
    <s v="2026-05"/>
  </r>
  <r>
    <d v="2026-05-27T00:00:00"/>
    <s v="NF-10556"/>
    <s v="Alfa Comércio Ltda."/>
    <s v="Comercial"/>
    <s v="Equipamentos"/>
    <n v="3119.66"/>
    <s v="Cartão"/>
    <s v="Bruno"/>
    <n v="30"/>
    <d v="2026-06-26T00:00:00"/>
    <x v="0"/>
    <m/>
    <n v="0"/>
    <n v="3119.66"/>
    <n v="0"/>
    <s v="2026-05"/>
  </r>
  <r>
    <d v="2026-05-27T00:00:00"/>
    <s v="NF-10237"/>
    <s v="Aparecida Comercial"/>
    <s v="Financeiro"/>
    <s v="Serviços"/>
    <n v="926.56"/>
    <s v="Transferência"/>
    <s v="Lucas"/>
    <n v="30"/>
    <d v="2026-06-26T00:00:00"/>
    <x v="1"/>
    <d v="2026-07-05T00:00:00"/>
    <n v="926.56"/>
    <n v="0"/>
    <n v="0"/>
    <s v="2026-05"/>
  </r>
  <r>
    <d v="2026-05-27T00:00:00"/>
    <s v="NF-10307"/>
    <s v="Maxi Atacado"/>
    <s v="Comercial"/>
    <s v="Consultoria"/>
    <n v="3312.82"/>
    <s v="Boleto"/>
    <s v="Lucas"/>
    <n v="30"/>
    <d v="2026-06-26T00:00:00"/>
    <x v="2"/>
    <m/>
    <n v="0"/>
    <n v="3312.82"/>
    <n v="59"/>
    <s v="2026-05"/>
  </r>
  <r>
    <d v="2026-05-27T00:00:00"/>
    <s v="NF-10376"/>
    <s v="Capital Empresarial"/>
    <s v="Comercial"/>
    <s v="Software"/>
    <n v="451.06"/>
    <s v="Boleto"/>
    <s v="Lucas"/>
    <n v="15"/>
    <d v="2026-06-11T00:00:00"/>
    <x v="1"/>
    <d v="2026-06-12T00:00:00"/>
    <n v="451.06"/>
    <n v="0"/>
    <n v="0"/>
    <s v="2026-05"/>
  </r>
  <r>
    <d v="2026-05-28T00:00:00"/>
    <s v="NF-10311"/>
    <s v="Beta Distribuidora"/>
    <s v="Financeiro"/>
    <s v="Consultoria"/>
    <n v="498.2"/>
    <s v="Transferência"/>
    <s v="Lucas"/>
    <n v="15"/>
    <d v="2026-06-12T00:00:00"/>
    <x v="0"/>
    <m/>
    <n v="0"/>
    <n v="498.2"/>
    <n v="0"/>
    <s v="2026-05"/>
  </r>
  <r>
    <d v="2026-05-28T00:00:00"/>
    <s v="NF-10345"/>
    <s v="Alfa Comércio Ltda."/>
    <s v="Comercial"/>
    <s v="Serviços"/>
    <n v="2217.29"/>
    <s v="Boleto"/>
    <s v="Diego"/>
    <n v="15"/>
    <d v="2026-06-12T00:00:00"/>
    <x v="1"/>
    <d v="2026-06-21T00:00:00"/>
    <n v="2217.29"/>
    <n v="0"/>
    <n v="0"/>
    <s v="2026-05"/>
  </r>
  <r>
    <d v="2026-05-28T00:00:00"/>
    <s v="NF-10267"/>
    <s v="Prime Serviços"/>
    <s v="Administrativo"/>
    <s v="Serviços"/>
    <n v="2176.04"/>
    <s v="Boleto"/>
    <s v="Lucas"/>
    <n v="7"/>
    <d v="2026-06-04T00:00:00"/>
    <x v="1"/>
    <d v="2026-06-15T00:00:00"/>
    <n v="2176.04"/>
    <n v="0"/>
    <n v="0"/>
    <s v="2026-05"/>
  </r>
  <r>
    <d v="2026-05-28T00:00:00"/>
    <s v="NF-10274"/>
    <s v="NovaTech Soluções"/>
    <s v="Administrativo"/>
    <s v="Equipamentos"/>
    <n v="3133.56"/>
    <s v="PIX"/>
    <s v="Bruno"/>
    <n v="30"/>
    <d v="2026-06-27T00:00:00"/>
    <x v="1"/>
    <d v="2026-07-08T00:00:00"/>
    <n v="3133.56"/>
    <n v="0"/>
    <n v="0"/>
    <s v="2026-05"/>
  </r>
  <r>
    <d v="2026-05-30T00:00:00"/>
    <s v="NF-10019"/>
    <s v="Sul Center"/>
    <s v="Comercial"/>
    <s v="Equipamentos"/>
    <n v="1628.03"/>
    <s v="Boleto"/>
    <s v="Fernanda"/>
    <n v="15"/>
    <d v="2026-06-14T00:00:00"/>
    <x v="1"/>
    <d v="2026-06-15T00:00:00"/>
    <n v="1628.03"/>
    <n v="0"/>
    <n v="0"/>
    <s v="2026-05"/>
  </r>
  <r>
    <d v="2026-05-30T00:00:00"/>
    <s v="NF-10459"/>
    <s v="Alfa Comércio Ltda."/>
    <s v="Comercial"/>
    <s v="Software"/>
    <n v="620.82000000000005"/>
    <s v="Cartão"/>
    <s v="Lucas"/>
    <n v="30"/>
    <d v="2026-06-29T00:00:00"/>
    <x v="2"/>
    <m/>
    <n v="0"/>
    <n v="620.82000000000005"/>
    <n v="56"/>
    <s v="2026-05"/>
  </r>
  <r>
    <d v="2026-05-31T00:00:00"/>
    <s v="NF-10165"/>
    <s v="Maxi Atacado"/>
    <s v="Operações"/>
    <s v="Consultoria"/>
    <n v="1162.67"/>
    <s v="Cartão"/>
    <s v="Ana"/>
    <n v="15"/>
    <d v="2026-06-15T00:00:00"/>
    <x v="0"/>
    <m/>
    <n v="0"/>
    <n v="1162.67"/>
    <n v="0"/>
    <s v="2026-05"/>
  </r>
  <r>
    <d v="2026-05-31T00:00:00"/>
    <s v="NF-10288"/>
    <s v="Goiás Office"/>
    <s v="Administrativo"/>
    <s v="Consultoria"/>
    <n v="1046.03"/>
    <s v="Transferência"/>
    <s v="Bruno"/>
    <n v="30"/>
    <d v="2026-06-30T00:00:00"/>
    <x v="1"/>
    <d v="2026-07-10T00:00:00"/>
    <n v="1046.03"/>
    <n v="0"/>
    <n v="0"/>
    <s v="2026-05"/>
  </r>
  <r>
    <d v="2026-05-31T00:00:00"/>
    <s v="NF-10135"/>
    <s v="Sul Center"/>
    <s v="Operações"/>
    <s v="Equipamentos"/>
    <n v="1439.6"/>
    <s v="Cartão"/>
    <s v="Camila"/>
    <n v="30"/>
    <d v="2026-06-30T00:00:00"/>
    <x v="1"/>
    <d v="2026-07-09T00:00:00"/>
    <n v="1439.6"/>
    <n v="0"/>
    <n v="0"/>
    <s v="2026-05"/>
  </r>
  <r>
    <d v="2026-05-31T00:00:00"/>
    <s v="NF-10415"/>
    <s v="Nexus Consultoria"/>
    <s v="Comercial"/>
    <s v="Material de Escritório"/>
    <n v="685.9"/>
    <s v="Cartão"/>
    <s v="Camila"/>
    <n v="30"/>
    <d v="2026-06-30T00:00:00"/>
    <x v="1"/>
    <d v="2026-07-04T00:00:00"/>
    <n v="685.9"/>
    <n v="0"/>
    <n v="0"/>
    <s v="2026-05"/>
  </r>
  <r>
    <d v="2026-06-01T00:00:00"/>
    <s v="NF-10432"/>
    <s v="Alfa Comércio Ltda."/>
    <s v="Comercial"/>
    <s v="Consultoria"/>
    <n v="656.89"/>
    <s v="Boleto"/>
    <s v="Diego"/>
    <n v="30"/>
    <d v="2026-07-01T00:00:00"/>
    <x v="1"/>
    <d v="2026-07-06T00:00:00"/>
    <n v="656.89"/>
    <n v="0"/>
    <n v="0"/>
    <s v="2026-06"/>
  </r>
  <r>
    <d v="2026-06-01T00:00:00"/>
    <s v="NF-10017"/>
    <s v="Capital Empresarial"/>
    <s v="Operações"/>
    <s v="Software"/>
    <n v="2418.91"/>
    <s v="PIX"/>
    <s v="Ana"/>
    <n v="15"/>
    <d v="2026-06-16T00:00:00"/>
    <x v="1"/>
    <d v="2026-06-22T00:00:00"/>
    <n v="2418.91"/>
    <n v="0"/>
    <n v="0"/>
    <s v="2026-06"/>
  </r>
  <r>
    <d v="2026-06-01T00:00:00"/>
    <s v="NF-10316"/>
    <s v="Jardim Suprimentos"/>
    <s v="Administrativo"/>
    <s v="Serviços"/>
    <n v="705.34"/>
    <s v="Transferência"/>
    <s v="Fernanda"/>
    <n v="15"/>
    <d v="2026-06-16T00:00:00"/>
    <x v="0"/>
    <m/>
    <n v="0"/>
    <n v="705.34"/>
    <n v="0"/>
    <s v="2026-06"/>
  </r>
  <r>
    <d v="2026-06-01T00:00:00"/>
    <s v="NF-10312"/>
    <s v="Prime Serviços"/>
    <s v="Operações"/>
    <s v="Serviços"/>
    <n v="1507.23"/>
    <s v="Boleto"/>
    <s v="Ana"/>
    <n v="45"/>
    <d v="2026-07-16T00:00:00"/>
    <x v="1"/>
    <d v="2026-07-16T00:00:00"/>
    <n v="1507.23"/>
    <n v="0"/>
    <n v="0"/>
    <s v="2026-06"/>
  </r>
  <r>
    <d v="2026-06-01T00:00:00"/>
    <s v="NF-10210"/>
    <s v="Prime Serviços"/>
    <s v="Administrativo"/>
    <s v="Material de Escritório"/>
    <n v="6998.03"/>
    <s v="Boleto"/>
    <s v="Fernanda"/>
    <n v="30"/>
    <d v="2026-07-01T00:00:00"/>
    <x v="2"/>
    <m/>
    <n v="0"/>
    <n v="6998.03"/>
    <n v="54"/>
    <s v="2026-06"/>
  </r>
  <r>
    <d v="2026-06-01T00:00:00"/>
    <s v="NF-10569"/>
    <s v="Aparecida Comercial"/>
    <s v="Operações"/>
    <s v="Serviços"/>
    <n v="2270.96"/>
    <s v="Boleto"/>
    <s v="Bruno"/>
    <n v="30"/>
    <d v="2026-07-01T00:00:00"/>
    <x v="1"/>
    <d v="2026-07-02T00:00:00"/>
    <n v="2270.96"/>
    <n v="0"/>
    <n v="0"/>
    <s v="2026-06"/>
  </r>
  <r>
    <d v="2026-06-02T00:00:00"/>
    <s v="NF-10431"/>
    <s v="Sul Center"/>
    <s v="Operações"/>
    <s v="Equipamentos"/>
    <n v="1003.9"/>
    <s v="Boleto"/>
    <s v="Lucas"/>
    <n v="7"/>
    <d v="2026-06-09T00:00:00"/>
    <x v="2"/>
    <m/>
    <n v="0"/>
    <n v="1003.9"/>
    <n v="76"/>
    <s v="2026-06"/>
  </r>
  <r>
    <d v="2026-06-02T00:00:00"/>
    <s v="NF-10454"/>
    <s v="Maxi Atacado"/>
    <s v="Administrativo"/>
    <s v="Consultoria"/>
    <n v="649.01"/>
    <s v="PIX"/>
    <s v="Bruno"/>
    <n v="7"/>
    <d v="2026-06-09T00:00:00"/>
    <x v="1"/>
    <d v="2026-06-18T00:00:00"/>
    <n v="649.01"/>
    <n v="0"/>
    <n v="0"/>
    <s v="2026-06"/>
  </r>
  <r>
    <d v="2026-06-02T00:00:00"/>
    <s v="NF-10327"/>
    <s v="Central Materiais"/>
    <s v="Financeiro"/>
    <s v="Material de Escritório"/>
    <n v="1322.32"/>
    <s v="PIX"/>
    <s v="Ana"/>
    <n v="45"/>
    <d v="2026-07-17T00:00:00"/>
    <x v="2"/>
    <m/>
    <n v="0"/>
    <n v="1322.32"/>
    <n v="38"/>
    <s v="2026-06"/>
  </r>
  <r>
    <d v="2026-06-03T00:00:00"/>
    <s v="NF-10529"/>
    <s v="Nexus Consultoria"/>
    <s v="Financeiro"/>
    <s v="Equipamentos"/>
    <n v="400.9"/>
    <s v="PIX"/>
    <s v="Lucas"/>
    <n v="30"/>
    <d v="2026-07-03T00:00:00"/>
    <x v="2"/>
    <m/>
    <n v="0"/>
    <n v="400.9"/>
    <n v="52"/>
    <s v="2026-06"/>
  </r>
  <r>
    <d v="2026-06-03T00:00:00"/>
    <s v="NF-10103"/>
    <s v="Central Materiais"/>
    <s v="Operações"/>
    <s v="Equipamentos"/>
    <n v="3980.27"/>
    <s v="PIX"/>
    <s v="Lucas"/>
    <n v="30"/>
    <d v="2026-07-03T00:00:00"/>
    <x v="1"/>
    <d v="2026-07-07T00:00:00"/>
    <n v="3980.27"/>
    <n v="0"/>
    <n v="0"/>
    <s v="2026-06"/>
  </r>
  <r>
    <d v="2026-06-03T00:00:00"/>
    <s v="NF-10599"/>
    <s v="Nexus Consultoria"/>
    <s v="Comercial"/>
    <s v="Material de Escritório"/>
    <n v="780.81"/>
    <s v="Cartão"/>
    <s v="Camila"/>
    <n v="30"/>
    <d v="2026-07-03T00:00:00"/>
    <x v="2"/>
    <m/>
    <n v="0"/>
    <n v="780.81"/>
    <n v="52"/>
    <s v="2026-06"/>
  </r>
  <r>
    <d v="2026-06-04T00:00:00"/>
    <s v="NF-10418"/>
    <s v="Goiás Office"/>
    <s v="Administrativo"/>
    <s v="Software"/>
    <n v="290.85000000000002"/>
    <s v="PIX"/>
    <s v="Lucas"/>
    <n v="30"/>
    <d v="2026-07-04T00:00:00"/>
    <x v="1"/>
    <d v="2026-07-13T00:00:00"/>
    <n v="290.85000000000002"/>
    <n v="0"/>
    <n v="0"/>
    <s v="2026-06"/>
  </r>
  <r>
    <d v="2026-06-04T00:00:00"/>
    <s v="NF-10204"/>
    <s v="Beta Distribuidora"/>
    <s v="Operações"/>
    <s v="Serviços"/>
    <n v="222.8"/>
    <s v="PIX"/>
    <s v="Bruno"/>
    <n v="15"/>
    <d v="2026-06-19T00:00:00"/>
    <x v="2"/>
    <m/>
    <n v="0"/>
    <n v="222.8"/>
    <n v="66"/>
    <s v="2026-06"/>
  </r>
  <r>
    <d v="2026-06-06T00:00:00"/>
    <s v="NF-10107"/>
    <s v="Central Materiais"/>
    <s v="Comercial"/>
    <s v="Material de Escritório"/>
    <n v="575.03"/>
    <s v="Transferência"/>
    <s v="Camila"/>
    <n v="15"/>
    <d v="2026-06-21T00:00:00"/>
    <x v="1"/>
    <d v="2026-06-28T00:00:00"/>
    <n v="575.03"/>
    <n v="0"/>
    <n v="0"/>
    <s v="2026-06"/>
  </r>
  <r>
    <d v="2026-06-07T00:00:00"/>
    <s v="NF-10492"/>
    <s v="Nexus Consultoria"/>
    <s v="Financeiro"/>
    <s v="Material de Escritório"/>
    <n v="3247.82"/>
    <s v="Transferência"/>
    <s v="Camila"/>
    <n v="7"/>
    <d v="2026-06-14T00:00:00"/>
    <x v="1"/>
    <d v="2026-06-25T00:00:00"/>
    <n v="3247.82"/>
    <n v="0"/>
    <n v="0"/>
    <s v="2026-06"/>
  </r>
  <r>
    <d v="2026-06-07T00:00:00"/>
    <s v="NF-10023"/>
    <s v="Goiás Office"/>
    <s v="Comercial"/>
    <s v="Consultoria"/>
    <n v="1305.28"/>
    <s v="Cartão"/>
    <s v="Fernanda"/>
    <n v="7"/>
    <d v="2026-06-14T00:00:00"/>
    <x v="0"/>
    <m/>
    <n v="0"/>
    <n v="1305.28"/>
    <n v="0"/>
    <s v="2026-06"/>
  </r>
  <r>
    <d v="2026-06-07T00:00:00"/>
    <s v="NF-10359"/>
    <s v="Nexus Consultoria"/>
    <s v="Operações"/>
    <s v="Serviços"/>
    <n v="844.65"/>
    <s v="Cartão"/>
    <s v="Fernanda"/>
    <n v="45"/>
    <d v="2026-07-22T00:00:00"/>
    <x v="0"/>
    <m/>
    <n v="0"/>
    <n v="844.65"/>
    <n v="0"/>
    <s v="2026-06"/>
  </r>
  <r>
    <d v="2026-06-07T00:00:00"/>
    <s v="NF-10383"/>
    <s v="Jardim Suprimentos"/>
    <s v="Operações"/>
    <s v="Equipamentos"/>
    <n v="2425.61"/>
    <s v="PIX"/>
    <s v="Fernanda"/>
    <n v="15"/>
    <d v="2026-06-22T00:00:00"/>
    <x v="1"/>
    <d v="2026-06-23T00:00:00"/>
    <n v="2425.61"/>
    <n v="0"/>
    <n v="0"/>
    <s v="2026-06"/>
  </r>
  <r>
    <d v="2026-06-08T00:00:00"/>
    <s v="NF-10289"/>
    <s v="Beta Distribuidora"/>
    <s v="Comercial"/>
    <s v="Software"/>
    <n v="1115.0899999999999"/>
    <s v="Boleto"/>
    <s v="Bruno"/>
    <n v="30"/>
    <d v="2026-07-08T00:00:00"/>
    <x v="1"/>
    <d v="2026-07-12T00:00:00"/>
    <n v="1115.0899999999999"/>
    <n v="0"/>
    <n v="0"/>
    <s v="2026-06"/>
  </r>
  <r>
    <d v="2026-06-09T00:00:00"/>
    <s v="NF-10399"/>
    <s v="Prime Serviços"/>
    <s v="Comercial"/>
    <s v="Consultoria"/>
    <n v="1077.06"/>
    <s v="Transferência"/>
    <s v="Diego"/>
    <n v="7"/>
    <d v="2026-06-16T00:00:00"/>
    <x v="1"/>
    <d v="2026-06-24T00:00:00"/>
    <n v="1077.06"/>
    <n v="0"/>
    <n v="0"/>
    <s v="2026-06"/>
  </r>
  <r>
    <d v="2026-06-09T00:00:00"/>
    <s v="NF-10214"/>
    <s v="Jardim Suprimentos"/>
    <s v="Administrativo"/>
    <s v="Consultoria"/>
    <n v="2226.46"/>
    <s v="Transferência"/>
    <s v="Diego"/>
    <n v="15"/>
    <d v="2026-06-24T00:00:00"/>
    <x v="1"/>
    <d v="2026-07-03T00:00:00"/>
    <n v="2226.46"/>
    <n v="0"/>
    <n v="0"/>
    <s v="2026-06"/>
  </r>
  <r>
    <d v="2026-06-09T00:00:00"/>
    <s v="NF-10244"/>
    <s v="Alfa Comércio Ltda."/>
    <s v="Administrativo"/>
    <s v="Equipamentos"/>
    <n v="2338.14"/>
    <s v="PIX"/>
    <s v="Fernanda"/>
    <n v="45"/>
    <d v="2026-07-24T00:00:00"/>
    <x v="1"/>
    <d v="2026-08-01T00:00:00"/>
    <n v="2338.14"/>
    <n v="0"/>
    <n v="0"/>
    <s v="2026-06"/>
  </r>
  <r>
    <d v="2026-06-09T00:00:00"/>
    <s v="NF-10171"/>
    <s v="Maxi Atacado"/>
    <s v="Comercial"/>
    <s v="Serviços"/>
    <n v="855.77"/>
    <s v="Cartão"/>
    <s v="Diego"/>
    <n v="15"/>
    <d v="2026-06-24T00:00:00"/>
    <x v="0"/>
    <m/>
    <n v="0"/>
    <n v="855.77"/>
    <n v="0"/>
    <s v="2026-06"/>
  </r>
  <r>
    <d v="2026-06-09T00:00:00"/>
    <s v="NF-10304"/>
    <s v="Alfa Comércio Ltda."/>
    <s v="Comercial"/>
    <s v="Consultoria"/>
    <n v="465.49"/>
    <s v="Transferência"/>
    <s v="Diego"/>
    <n v="7"/>
    <d v="2026-06-16T00:00:00"/>
    <x v="0"/>
    <m/>
    <n v="0"/>
    <n v="465.49"/>
    <n v="0"/>
    <s v="2026-06"/>
  </r>
  <r>
    <d v="2026-06-09T00:00:00"/>
    <s v="NF-10567"/>
    <s v="Prime Serviços"/>
    <s v="Operações"/>
    <s v="Material de Escritório"/>
    <n v="3685.33"/>
    <s v="Transferência"/>
    <s v="Ana"/>
    <n v="30"/>
    <d v="2026-07-09T00:00:00"/>
    <x v="1"/>
    <d v="2026-07-11T00:00:00"/>
    <n v="3685.33"/>
    <n v="0"/>
    <n v="0"/>
    <s v="2026-06"/>
  </r>
  <r>
    <d v="2026-06-09T00:00:00"/>
    <s v="NF-10242"/>
    <s v="Capital Empresarial"/>
    <s v="Operações"/>
    <s v="Software"/>
    <n v="1569.26"/>
    <s v="PIX"/>
    <s v="Diego"/>
    <n v="30"/>
    <d v="2026-07-09T00:00:00"/>
    <x v="1"/>
    <d v="2026-07-10T00:00:00"/>
    <n v="1569.26"/>
    <n v="0"/>
    <n v="0"/>
    <s v="2026-06"/>
  </r>
  <r>
    <d v="2026-06-10T00:00:00"/>
    <s v="NF-10422"/>
    <s v="Prime Serviços"/>
    <s v="Operações"/>
    <s v="Software"/>
    <n v="2964.25"/>
    <s v="PIX"/>
    <s v="Diego"/>
    <n v="30"/>
    <d v="2026-07-10T00:00:00"/>
    <x v="1"/>
    <d v="2026-07-17T00:00:00"/>
    <n v="2964.25"/>
    <n v="0"/>
    <n v="0"/>
    <s v="2026-06"/>
  </r>
  <r>
    <d v="2026-06-10T00:00:00"/>
    <s v="NF-10400"/>
    <s v="Capital Empresarial"/>
    <s v="Administrativo"/>
    <s v="Material de Escritório"/>
    <n v="828.73"/>
    <s v="PIX"/>
    <s v="Fernanda"/>
    <n v="45"/>
    <d v="2026-07-25T00:00:00"/>
    <x v="1"/>
    <d v="2026-08-05T00:00:00"/>
    <n v="828.73"/>
    <n v="0"/>
    <n v="0"/>
    <s v="2026-06"/>
  </r>
  <r>
    <d v="2026-06-10T00:00:00"/>
    <s v="NF-10339"/>
    <s v="Beta Distribuidora"/>
    <s v="Financeiro"/>
    <s v="Software"/>
    <n v="521.92999999999995"/>
    <s v="PIX"/>
    <s v="Bruno"/>
    <n v="15"/>
    <d v="2026-06-25T00:00:00"/>
    <x v="1"/>
    <d v="2026-07-06T00:00:00"/>
    <n v="521.92999999999995"/>
    <n v="0"/>
    <n v="0"/>
    <s v="2026-06"/>
  </r>
  <r>
    <d v="2026-06-10T00:00:00"/>
    <s v="NF-10575"/>
    <s v="Central Materiais"/>
    <s v="Administrativo"/>
    <s v="Material de Escritório"/>
    <n v="1534.4"/>
    <s v="Cartão"/>
    <s v="Camila"/>
    <n v="45"/>
    <d v="2026-07-25T00:00:00"/>
    <x v="1"/>
    <d v="2026-07-31T00:00:00"/>
    <n v="1534.4"/>
    <n v="0"/>
    <n v="0"/>
    <s v="2026-06"/>
  </r>
  <r>
    <d v="2026-06-10T00:00:00"/>
    <s v="NF-10583"/>
    <s v="Jardim Suprimentos"/>
    <s v="Financeiro"/>
    <s v="Software"/>
    <n v="1515.13"/>
    <s v="PIX"/>
    <s v="Lucas"/>
    <n v="15"/>
    <d v="2026-06-25T00:00:00"/>
    <x v="2"/>
    <m/>
    <n v="0"/>
    <n v="1515.13"/>
    <n v="60"/>
    <s v="2026-06"/>
  </r>
  <r>
    <d v="2026-06-10T00:00:00"/>
    <s v="NF-10029"/>
    <s v="Aparecida Comercial"/>
    <s v="Administrativo"/>
    <s v="Software"/>
    <n v="1569.6"/>
    <s v="Transferência"/>
    <s v="Bruno"/>
    <n v="15"/>
    <d v="2026-06-25T00:00:00"/>
    <x v="1"/>
    <d v="2026-07-04T00:00:00"/>
    <n v="1569.6"/>
    <n v="0"/>
    <n v="0"/>
    <s v="2026-06"/>
  </r>
  <r>
    <d v="2026-06-10T00:00:00"/>
    <s v="NF-10278"/>
    <s v="Goiás Office"/>
    <s v="Administrativo"/>
    <s v="Serviços"/>
    <n v="1029"/>
    <s v="Cartão"/>
    <s v="Fernanda"/>
    <n v="30"/>
    <d v="2026-07-10T00:00:00"/>
    <x v="1"/>
    <d v="2026-07-14T00:00:00"/>
    <n v="1029"/>
    <n v="0"/>
    <n v="0"/>
    <s v="2026-06"/>
  </r>
  <r>
    <d v="2026-06-10T00:00:00"/>
    <s v="NF-10315"/>
    <s v="Jardim Suprimentos"/>
    <s v="Comercial"/>
    <s v="Software"/>
    <n v="1247.06"/>
    <s v="PIX"/>
    <s v="Camila"/>
    <n v="30"/>
    <d v="2026-07-10T00:00:00"/>
    <x v="0"/>
    <m/>
    <n v="0"/>
    <n v="1247.06"/>
    <n v="0"/>
    <s v="2026-06"/>
  </r>
  <r>
    <d v="2026-06-11T00:00:00"/>
    <s v="NF-10087"/>
    <s v="Prime Serviços"/>
    <s v="Financeiro"/>
    <s v="Serviços"/>
    <n v="1703.13"/>
    <s v="PIX"/>
    <s v="Ana"/>
    <n v="15"/>
    <d v="2026-06-26T00:00:00"/>
    <x v="1"/>
    <d v="2026-07-07T00:00:00"/>
    <n v="1703.13"/>
    <n v="0"/>
    <n v="0"/>
    <s v="2026-06"/>
  </r>
  <r>
    <d v="2026-06-11T00:00:00"/>
    <s v="NF-10132"/>
    <s v="Sul Center"/>
    <s v="Operações"/>
    <s v="Serviços"/>
    <n v="570.24"/>
    <s v="Transferência"/>
    <s v="Bruno"/>
    <n v="15"/>
    <d v="2026-06-26T00:00:00"/>
    <x v="1"/>
    <d v="2026-06-30T00:00:00"/>
    <n v="570.24"/>
    <n v="0"/>
    <n v="0"/>
    <s v="2026-06"/>
  </r>
  <r>
    <d v="2026-06-12T00:00:00"/>
    <s v="NF-10572"/>
    <s v="Capital Empresarial"/>
    <s v="Financeiro"/>
    <s v="Material de Escritório"/>
    <n v="2120.5500000000002"/>
    <s v="PIX"/>
    <s v="Lucas"/>
    <n v="30"/>
    <d v="2026-07-12T00:00:00"/>
    <x v="0"/>
    <m/>
    <n v="0"/>
    <n v="2120.5500000000002"/>
    <n v="0"/>
    <s v="2026-06"/>
  </r>
  <r>
    <d v="2026-06-12T00:00:00"/>
    <s v="NF-10335"/>
    <s v="Goiás Office"/>
    <s v="Operações"/>
    <s v="Consultoria"/>
    <n v="494.41"/>
    <s v="Boleto"/>
    <s v="Ana"/>
    <n v="7"/>
    <d v="2026-06-19T00:00:00"/>
    <x v="1"/>
    <d v="2026-06-28T00:00:00"/>
    <n v="494.41"/>
    <n v="0"/>
    <n v="0"/>
    <s v="2026-06"/>
  </r>
  <r>
    <d v="2026-06-12T00:00:00"/>
    <s v="NF-10122"/>
    <s v="Maxi Atacado"/>
    <s v="Administrativo"/>
    <s v="Consultoria"/>
    <n v="2383"/>
    <s v="Cartão"/>
    <s v="Bruno"/>
    <n v="15"/>
    <d v="2026-06-27T00:00:00"/>
    <x v="1"/>
    <d v="2026-06-30T00:00:00"/>
    <n v="2383"/>
    <n v="0"/>
    <n v="0"/>
    <s v="2026-06"/>
  </r>
  <r>
    <d v="2026-06-12T00:00:00"/>
    <s v="NF-10121"/>
    <s v="Beta Distribuidora"/>
    <s v="Comercial"/>
    <s v="Material de Escritório"/>
    <n v="1323.58"/>
    <s v="Cartão"/>
    <s v="Diego"/>
    <n v="45"/>
    <d v="2026-07-27T00:00:00"/>
    <x v="1"/>
    <d v="2026-08-06T00:00:00"/>
    <n v="1323.58"/>
    <n v="0"/>
    <n v="0"/>
    <s v="2026-06"/>
  </r>
  <r>
    <d v="2026-06-13T00:00:00"/>
    <s v="NF-10074"/>
    <s v="Capital Empresarial"/>
    <s v="Comercial"/>
    <s v="Material de Escritório"/>
    <n v="1142.8399999999999"/>
    <s v="PIX"/>
    <s v="Lucas"/>
    <n v="30"/>
    <d v="2026-07-13T00:00:00"/>
    <x v="1"/>
    <d v="2026-07-20T00:00:00"/>
    <n v="1142.8399999999999"/>
    <n v="0"/>
    <n v="0"/>
    <s v="2026-06"/>
  </r>
  <r>
    <d v="2026-06-13T00:00:00"/>
    <s v="NF-10321"/>
    <s v="Aparecida Comercial"/>
    <s v="Comercial"/>
    <s v="Software"/>
    <n v="2754.21"/>
    <s v="PIX"/>
    <s v="Camila"/>
    <n v="30"/>
    <d v="2026-07-13T00:00:00"/>
    <x v="1"/>
    <d v="2026-07-23T00:00:00"/>
    <n v="2754.21"/>
    <n v="0"/>
    <n v="0"/>
    <s v="2026-06"/>
  </r>
  <r>
    <d v="2026-06-13T00:00:00"/>
    <s v="NF-10269"/>
    <s v="NovaTech Soluções"/>
    <s v="Financeiro"/>
    <s v="Consultoria"/>
    <n v="638.98"/>
    <s v="PIX"/>
    <s v="Lucas"/>
    <n v="30"/>
    <d v="2026-07-13T00:00:00"/>
    <x v="2"/>
    <m/>
    <n v="0"/>
    <n v="638.98"/>
    <n v="42"/>
    <s v="2026-06"/>
  </r>
  <r>
    <d v="2026-06-14T00:00:00"/>
    <s v="NF-10207"/>
    <s v="Aparecida Comercial"/>
    <s v="Financeiro"/>
    <s v="Consultoria"/>
    <n v="1538.07"/>
    <s v="PIX"/>
    <s v="Lucas"/>
    <n v="15"/>
    <d v="2026-06-29T00:00:00"/>
    <x v="1"/>
    <d v="2026-07-08T00:00:00"/>
    <n v="1538.07"/>
    <n v="0"/>
    <n v="0"/>
    <s v="2026-06"/>
  </r>
  <r>
    <d v="2026-06-15T00:00:00"/>
    <s v="NF-10322"/>
    <s v="Jardim Suprimentos"/>
    <s v="Administrativo"/>
    <s v="Serviços"/>
    <n v="1058.0899999999999"/>
    <s v="PIX"/>
    <s v="Fernanda"/>
    <n v="30"/>
    <d v="2026-07-15T00:00:00"/>
    <x v="2"/>
    <m/>
    <n v="0"/>
    <n v="1058.0899999999999"/>
    <n v="40"/>
    <s v="2026-06"/>
  </r>
  <r>
    <d v="2026-06-16T00:00:00"/>
    <s v="NF-10053"/>
    <s v="Maxi Atacado"/>
    <s v="Administrativo"/>
    <s v="Consultoria"/>
    <n v="2249.7399999999998"/>
    <s v="Transferência"/>
    <s v="Ana"/>
    <n v="30"/>
    <d v="2026-07-16T00:00:00"/>
    <x v="2"/>
    <m/>
    <n v="0"/>
    <n v="2249.7399999999998"/>
    <n v="39"/>
    <s v="2026-06"/>
  </r>
  <r>
    <d v="2026-06-17T00:00:00"/>
    <s v="NF-10584"/>
    <s v="Aparecida Comercial"/>
    <s v="Financeiro"/>
    <s v="Equipamentos"/>
    <n v="2340.3000000000002"/>
    <s v="Boleto"/>
    <s v="Bruno"/>
    <n v="30"/>
    <d v="2026-07-17T00:00:00"/>
    <x v="1"/>
    <d v="2026-07-21T00:00:00"/>
    <n v="2340.3000000000002"/>
    <n v="0"/>
    <n v="0"/>
    <s v="2026-06"/>
  </r>
  <r>
    <d v="2026-06-17T00:00:00"/>
    <s v="NF-10485"/>
    <s v="Jardim Suprimentos"/>
    <s v="Financeiro"/>
    <s v="Consultoria"/>
    <n v="1272.7"/>
    <s v="Boleto"/>
    <s v="Ana"/>
    <n v="30"/>
    <d v="2026-07-17T00:00:00"/>
    <x v="2"/>
    <m/>
    <n v="0"/>
    <n v="1272.7"/>
    <n v="38"/>
    <s v="2026-06"/>
  </r>
  <r>
    <d v="2026-06-17T00:00:00"/>
    <s v="NF-10279"/>
    <s v="Aparecida Comercial"/>
    <s v="Operações"/>
    <s v="Consultoria"/>
    <n v="1282.02"/>
    <s v="Boleto"/>
    <s v="Fernanda"/>
    <n v="15"/>
    <d v="2026-07-02T00:00:00"/>
    <x v="1"/>
    <d v="2026-07-04T00:00:00"/>
    <n v="1282.02"/>
    <n v="0"/>
    <n v="0"/>
    <s v="2026-06"/>
  </r>
  <r>
    <d v="2026-06-18T00:00:00"/>
    <s v="NF-10338"/>
    <s v="NovaTech Soluções"/>
    <s v="Financeiro"/>
    <s v="Consultoria"/>
    <n v="260.77999999999997"/>
    <s v="Cartão"/>
    <s v="Lucas"/>
    <n v="15"/>
    <d v="2026-07-03T00:00:00"/>
    <x v="0"/>
    <m/>
    <n v="0"/>
    <n v="260.77999999999997"/>
    <n v="0"/>
    <s v="2026-06"/>
  </r>
  <r>
    <d v="2026-06-19T00:00:00"/>
    <s v="NF-10465"/>
    <s v="Jardim Suprimentos"/>
    <s v="Comercial"/>
    <s v="Equipamentos"/>
    <n v="613.59"/>
    <s v="Transferência"/>
    <s v="Fernanda"/>
    <n v="45"/>
    <d v="2026-08-03T00:00:00"/>
    <x v="1"/>
    <d v="2026-08-10T00:00:00"/>
    <n v="613.59"/>
    <n v="0"/>
    <n v="0"/>
    <s v="2026-06"/>
  </r>
  <r>
    <d v="2026-06-19T00:00:00"/>
    <s v="NF-10427"/>
    <s v="Nexus Consultoria"/>
    <s v="Administrativo"/>
    <s v="Equipamentos"/>
    <n v="1757.81"/>
    <s v="Boleto"/>
    <s v="Diego"/>
    <n v="7"/>
    <d v="2026-06-26T00:00:00"/>
    <x v="1"/>
    <d v="2026-07-07T00:00:00"/>
    <n v="1757.81"/>
    <n v="0"/>
    <n v="0"/>
    <s v="2026-06"/>
  </r>
  <r>
    <d v="2026-06-19T00:00:00"/>
    <s v="NF-10177"/>
    <s v="Capital Empresarial"/>
    <s v="Financeiro"/>
    <s v="Software"/>
    <n v="2677.96"/>
    <s v="Cartão"/>
    <s v="Bruno"/>
    <n v="15"/>
    <d v="2026-07-04T00:00:00"/>
    <x v="1"/>
    <d v="2026-07-07T00:00:00"/>
    <n v="2677.96"/>
    <n v="0"/>
    <n v="0"/>
    <s v="2026-06"/>
  </r>
  <r>
    <d v="2026-06-19T00:00:00"/>
    <s v="NF-10036"/>
    <s v="Goiás Office"/>
    <s v="Comercial"/>
    <s v="Material de Escritório"/>
    <n v="1901.57"/>
    <s v="Boleto"/>
    <s v="Ana"/>
    <n v="15"/>
    <d v="2026-07-04T00:00:00"/>
    <x v="1"/>
    <d v="2026-07-14T00:00:00"/>
    <n v="1901.57"/>
    <n v="0"/>
    <n v="0"/>
    <s v="2026-06"/>
  </r>
  <r>
    <d v="2026-06-20T00:00:00"/>
    <s v="NF-10578"/>
    <s v="Central Materiais"/>
    <s v="Financeiro"/>
    <s v="Serviços"/>
    <n v="1829.62"/>
    <s v="Boleto"/>
    <s v="Ana"/>
    <n v="7"/>
    <d v="2026-06-27T00:00:00"/>
    <x v="1"/>
    <d v="2026-06-27T00:00:00"/>
    <n v="1829.62"/>
    <n v="0"/>
    <n v="0"/>
    <s v="2026-06"/>
  </r>
  <r>
    <d v="2026-06-20T00:00:00"/>
    <s v="NF-10167"/>
    <s v="Nexus Consultoria"/>
    <s v="Comercial"/>
    <s v="Serviços"/>
    <n v="2043.92"/>
    <s v="Transferência"/>
    <s v="Camila"/>
    <n v="7"/>
    <d v="2026-06-27T00:00:00"/>
    <x v="1"/>
    <d v="2026-07-06T00:00:00"/>
    <n v="2043.92"/>
    <n v="0"/>
    <n v="0"/>
    <s v="2026-06"/>
  </r>
  <r>
    <d v="2026-06-21T00:00:00"/>
    <s v="NF-10241"/>
    <s v="Capital Empresarial"/>
    <s v="Financeiro"/>
    <s v="Consultoria"/>
    <n v="1100.78"/>
    <s v="PIX"/>
    <s v="Diego"/>
    <n v="30"/>
    <d v="2026-07-21T00:00:00"/>
    <x v="1"/>
    <d v="2026-07-28T00:00:00"/>
    <n v="1100.78"/>
    <n v="0"/>
    <n v="0"/>
    <s v="2026-06"/>
  </r>
  <r>
    <d v="2026-06-21T00:00:00"/>
    <s v="NF-10068"/>
    <s v="Sul Center"/>
    <s v="Administrativo"/>
    <s v="Software"/>
    <n v="2533.39"/>
    <s v="Boleto"/>
    <s v="Ana"/>
    <n v="7"/>
    <d v="2026-06-28T00:00:00"/>
    <x v="1"/>
    <d v="2026-07-08T00:00:00"/>
    <n v="2533.39"/>
    <n v="0"/>
    <n v="0"/>
    <s v="2026-06"/>
  </r>
  <r>
    <d v="2026-06-21T00:00:00"/>
    <s v="NF-10382"/>
    <s v="Aparecida Comercial"/>
    <s v="Comercial"/>
    <s v="Serviços"/>
    <n v="1557.81"/>
    <s v="Boleto"/>
    <s v="Camila"/>
    <n v="45"/>
    <d v="2026-08-05T00:00:00"/>
    <x v="2"/>
    <m/>
    <n v="0"/>
    <n v="1557.81"/>
    <n v="19"/>
    <s v="2026-06"/>
  </r>
  <r>
    <d v="2026-06-21T00:00:00"/>
    <s v="NF-10209"/>
    <s v="Alfa Comércio Ltda."/>
    <s v="Comercial"/>
    <s v="Serviços"/>
    <n v="3113.62"/>
    <s v="Transferência"/>
    <s v="Bruno"/>
    <n v="30"/>
    <d v="2026-07-21T00:00:00"/>
    <x v="1"/>
    <d v="2026-07-21T00:00:00"/>
    <n v="3113.62"/>
    <n v="0"/>
    <n v="0"/>
    <s v="2026-06"/>
  </r>
  <r>
    <d v="2026-06-21T00:00:00"/>
    <s v="NF-10139"/>
    <s v="NovaTech Soluções"/>
    <s v="Comercial"/>
    <s v="Material de Escritório"/>
    <n v="1465.21"/>
    <s v="Boleto"/>
    <s v="Fernanda"/>
    <n v="7"/>
    <d v="2026-06-28T00:00:00"/>
    <x v="1"/>
    <d v="2026-07-07T00:00:00"/>
    <n v="1465.21"/>
    <n v="0"/>
    <n v="0"/>
    <s v="2026-06"/>
  </r>
  <r>
    <d v="2026-06-22T00:00:00"/>
    <s v="NF-10438"/>
    <s v="Aparecida Comercial"/>
    <s v="Operações"/>
    <s v="Equipamentos"/>
    <n v="1453.51"/>
    <s v="PIX"/>
    <s v="Fernanda"/>
    <n v="7"/>
    <d v="2026-06-29T00:00:00"/>
    <x v="1"/>
    <d v="2026-07-02T00:00:00"/>
    <n v="1453.51"/>
    <n v="0"/>
    <n v="0"/>
    <s v="2026-06"/>
  </r>
  <r>
    <d v="2026-06-23T00:00:00"/>
    <s v="NF-10409"/>
    <s v="Sul Center"/>
    <s v="Comercial"/>
    <s v="Consultoria"/>
    <n v="1802.99"/>
    <s v="PIX"/>
    <s v="Camila"/>
    <n v="45"/>
    <d v="2026-08-07T00:00:00"/>
    <x v="0"/>
    <m/>
    <n v="0"/>
    <n v="1802.99"/>
    <n v="0"/>
    <s v="2026-06"/>
  </r>
  <r>
    <d v="2026-06-24T00:00:00"/>
    <s v="NF-10144"/>
    <s v="Prime Serviços"/>
    <s v="Operações"/>
    <s v="Consultoria"/>
    <n v="1251.49"/>
    <s v="PIX"/>
    <s v="Lucas"/>
    <n v="30"/>
    <d v="2026-07-24T00:00:00"/>
    <x v="1"/>
    <d v="2026-07-24T00:00:00"/>
    <n v="1251.49"/>
    <n v="0"/>
    <n v="0"/>
    <s v="2026-06"/>
  </r>
  <r>
    <d v="2026-06-24T00:00:00"/>
    <s v="NF-10042"/>
    <s v="Prime Serviços"/>
    <s v="Comercial"/>
    <s v="Material de Escritório"/>
    <n v="2737.88"/>
    <s v="Boleto"/>
    <s v="Fernanda"/>
    <n v="30"/>
    <d v="2026-07-24T00:00:00"/>
    <x v="1"/>
    <d v="2026-07-25T00:00:00"/>
    <n v="2737.88"/>
    <n v="0"/>
    <n v="0"/>
    <s v="2026-06"/>
  </r>
  <r>
    <d v="2026-06-24T00:00:00"/>
    <s v="NF-10413"/>
    <s v="Beta Distribuidora"/>
    <s v="Financeiro"/>
    <s v="Serviços"/>
    <n v="9963.17"/>
    <s v="Boleto"/>
    <s v="Bruno"/>
    <n v="30"/>
    <d v="2026-07-24T00:00:00"/>
    <x v="0"/>
    <m/>
    <n v="0"/>
    <n v="9963.17"/>
    <n v="0"/>
    <s v="2026-06"/>
  </r>
  <r>
    <d v="2026-06-24T00:00:00"/>
    <s v="NF-10070"/>
    <s v="NovaTech Soluções"/>
    <s v="Administrativo"/>
    <s v="Serviços"/>
    <n v="4293.6899999999996"/>
    <s v="Boleto"/>
    <s v="Camila"/>
    <n v="15"/>
    <d v="2026-07-09T00:00:00"/>
    <x v="1"/>
    <d v="2026-07-13T00:00:00"/>
    <n v="4293.6899999999996"/>
    <n v="0"/>
    <n v="0"/>
    <s v="2026-06"/>
  </r>
  <r>
    <d v="2026-06-25T00:00:00"/>
    <s v="NF-10425"/>
    <s v="Beta Distribuidora"/>
    <s v="Financeiro"/>
    <s v="Software"/>
    <n v="5030.08"/>
    <s v="Boleto"/>
    <s v="Lucas"/>
    <n v="30"/>
    <d v="2026-07-25T00:00:00"/>
    <x v="1"/>
    <d v="2026-08-03T00:00:00"/>
    <n v="5030.08"/>
    <n v="0"/>
    <n v="0"/>
    <s v="2026-06"/>
  </r>
  <r>
    <d v="2026-06-25T00:00:00"/>
    <s v="NF-10543"/>
    <s v="Capital Empresarial"/>
    <s v="Comercial"/>
    <s v="Equipamentos"/>
    <n v="818.6"/>
    <s v="Transferência"/>
    <s v="Lucas"/>
    <n v="15"/>
    <d v="2026-07-10T00:00:00"/>
    <x v="1"/>
    <d v="2026-07-19T00:00:00"/>
    <n v="818.6"/>
    <n v="0"/>
    <n v="0"/>
    <s v="2026-06"/>
  </r>
  <r>
    <d v="2026-06-25T00:00:00"/>
    <s v="NF-10353"/>
    <s v="Jardim Suprimentos"/>
    <s v="Comercial"/>
    <s v="Material de Escritório"/>
    <n v="3180.84"/>
    <s v="Transferência"/>
    <s v="Lucas"/>
    <n v="15"/>
    <d v="2026-07-10T00:00:00"/>
    <x v="1"/>
    <d v="2026-07-12T00:00:00"/>
    <n v="3180.84"/>
    <n v="0"/>
    <n v="0"/>
    <s v="2026-06"/>
  </r>
  <r>
    <d v="2026-06-27T00:00:00"/>
    <s v="NF-10287"/>
    <s v="Jardim Suprimentos"/>
    <s v="Comercial"/>
    <s v="Serviços"/>
    <n v="5215.21"/>
    <s v="PIX"/>
    <s v="Camila"/>
    <n v="7"/>
    <d v="2026-07-04T00:00:00"/>
    <x v="0"/>
    <m/>
    <n v="0"/>
    <n v="5215.21"/>
    <n v="0"/>
    <s v="2026-06"/>
  </r>
  <r>
    <d v="2026-06-27T00:00:00"/>
    <s v="NF-10571"/>
    <s v="Nexus Consultoria"/>
    <s v="Operações"/>
    <s v="Equipamentos"/>
    <n v="492.78"/>
    <s v="PIX"/>
    <s v="Fernanda"/>
    <n v="15"/>
    <d v="2026-07-12T00:00:00"/>
    <x v="1"/>
    <d v="2026-07-14T00:00:00"/>
    <n v="492.78"/>
    <n v="0"/>
    <n v="0"/>
    <s v="2026-06"/>
  </r>
  <r>
    <d v="2026-06-28T00:00:00"/>
    <s v="NF-10577"/>
    <s v="Jardim Suprimentos"/>
    <s v="Administrativo"/>
    <s v="Material de Escritório"/>
    <n v="6532.53"/>
    <s v="Boleto"/>
    <s v="Fernanda"/>
    <n v="15"/>
    <d v="2026-07-13T00:00:00"/>
    <x v="1"/>
    <d v="2026-07-18T00:00:00"/>
    <n v="6532.53"/>
    <n v="0"/>
    <n v="0"/>
    <s v="2026-06"/>
  </r>
  <r>
    <d v="2026-06-28T00:00:00"/>
    <s v="NF-10159"/>
    <s v="Prime Serviços"/>
    <s v="Comercial"/>
    <s v="Material de Escritório"/>
    <n v="1535.15"/>
    <s v="PIX"/>
    <s v="Bruno"/>
    <n v="30"/>
    <d v="2026-07-28T00:00:00"/>
    <x v="1"/>
    <d v="2026-07-28T00:00:00"/>
    <n v="1535.15"/>
    <n v="0"/>
    <n v="0"/>
    <s v="2026-06"/>
  </r>
  <r>
    <d v="2026-06-28T00:00:00"/>
    <s v="NF-10531"/>
    <s v="Sul Center"/>
    <s v="Operações"/>
    <s v="Equipamentos"/>
    <n v="4547.2700000000004"/>
    <s v="Cartão"/>
    <s v="Ana"/>
    <n v="30"/>
    <d v="2026-07-28T00:00:00"/>
    <x v="1"/>
    <d v="2026-07-31T00:00:00"/>
    <n v="4547.2700000000004"/>
    <n v="0"/>
    <n v="0"/>
    <s v="2026-06"/>
  </r>
  <r>
    <d v="2026-06-29T00:00:00"/>
    <s v="NF-10464"/>
    <s v="Beta Distribuidora"/>
    <s v="Administrativo"/>
    <s v="Consultoria"/>
    <n v="677.53"/>
    <s v="PIX"/>
    <s v="Bruno"/>
    <n v="30"/>
    <d v="2026-07-29T00:00:00"/>
    <x v="1"/>
    <d v="2026-08-03T00:00:00"/>
    <n v="677.53"/>
    <n v="0"/>
    <n v="0"/>
    <s v="2026-06"/>
  </r>
  <r>
    <d v="2026-06-29T00:00:00"/>
    <s v="NF-10216"/>
    <s v="Capital Empresarial"/>
    <s v="Comercial"/>
    <s v="Serviços"/>
    <n v="2571.58"/>
    <s v="Transferência"/>
    <s v="Fernanda"/>
    <n v="7"/>
    <d v="2026-07-06T00:00:00"/>
    <x v="1"/>
    <d v="2026-07-09T00:00:00"/>
    <n v="2571.58"/>
    <n v="0"/>
    <n v="0"/>
    <s v="2026-06"/>
  </r>
  <r>
    <d v="2026-06-29T00:00:00"/>
    <s v="NF-10001"/>
    <s v="Capital Empresarial"/>
    <s v="Administrativo"/>
    <s v="Software"/>
    <n v="817.08"/>
    <s v="Cartão"/>
    <s v="Fernanda"/>
    <n v="45"/>
    <d v="2026-08-13T00:00:00"/>
    <x v="1"/>
    <d v="2026-08-19T00:00:00"/>
    <n v="817.08"/>
    <n v="0"/>
    <n v="0"/>
    <s v="2026-06"/>
  </r>
  <r>
    <d v="2026-06-29T00:00:00"/>
    <s v="NF-10554"/>
    <s v="Alfa Comércio Ltda."/>
    <s v="Administrativo"/>
    <s v="Equipamentos"/>
    <n v="2081.12"/>
    <s v="Transferência"/>
    <s v="Fernanda"/>
    <n v="30"/>
    <d v="2026-07-29T00:00:00"/>
    <x v="1"/>
    <d v="2026-08-07T00:00:00"/>
    <n v="2081.12"/>
    <n v="0"/>
    <n v="0"/>
    <s v="2026-06"/>
  </r>
  <r>
    <d v="2026-06-30T00:00:00"/>
    <s v="NF-10393"/>
    <s v="Maxi Atacado"/>
    <s v="Financeiro"/>
    <s v="Software"/>
    <n v="3687.41"/>
    <s v="Cartão"/>
    <s v="Ana"/>
    <n v="30"/>
    <d v="2026-07-30T00:00:00"/>
    <x v="0"/>
    <m/>
    <n v="0"/>
    <n v="3687.41"/>
    <n v="0"/>
    <s v="2026-06"/>
  </r>
  <r>
    <d v="2026-07-01T00:00:00"/>
    <s v="NF-10363"/>
    <s v="Central Materiais"/>
    <s v="Comercial"/>
    <s v="Material de Escritório"/>
    <n v="627.95000000000005"/>
    <s v="Boleto"/>
    <s v="Ana"/>
    <n v="15"/>
    <d v="2026-07-16T00:00:00"/>
    <x v="0"/>
    <m/>
    <n v="0"/>
    <n v="627.95000000000005"/>
    <n v="0"/>
    <s v="2026-07"/>
  </r>
  <r>
    <d v="2026-07-02T00:00:00"/>
    <s v="NF-10246"/>
    <s v="Sul Center"/>
    <s v="Comercial"/>
    <s v="Software"/>
    <n v="804.63"/>
    <s v="Boleto"/>
    <s v="Fernanda"/>
    <n v="30"/>
    <d v="2026-08-01T00:00:00"/>
    <x v="1"/>
    <d v="2026-08-07T00:00:00"/>
    <n v="804.63"/>
    <n v="0"/>
    <n v="0"/>
    <s v="2026-07"/>
  </r>
  <r>
    <d v="2026-07-02T00:00:00"/>
    <s v="NF-10500"/>
    <s v="Beta Distribuidora"/>
    <s v="Financeiro"/>
    <s v="Serviços"/>
    <n v="1489.19"/>
    <s v="Transferência"/>
    <s v="Ana"/>
    <n v="45"/>
    <d v="2026-08-16T00:00:00"/>
    <x v="1"/>
    <d v="2026-08-19T00:00:00"/>
    <n v="1489.19"/>
    <n v="0"/>
    <n v="0"/>
    <s v="2026-07"/>
  </r>
  <r>
    <d v="2026-07-03T00:00:00"/>
    <s v="NF-10248"/>
    <s v="Goiás Office"/>
    <s v="Comercial"/>
    <s v="Material de Escritório"/>
    <n v="637.54"/>
    <s v="Transferência"/>
    <s v="Camila"/>
    <n v="30"/>
    <d v="2026-08-02T00:00:00"/>
    <x v="0"/>
    <m/>
    <n v="0"/>
    <n v="637.54"/>
    <n v="0"/>
    <s v="2026-07"/>
  </r>
  <r>
    <d v="2026-07-03T00:00:00"/>
    <s v="NF-10228"/>
    <s v="Aparecida Comercial"/>
    <s v="Operações"/>
    <s v="Consultoria"/>
    <n v="952.8"/>
    <s v="Boleto"/>
    <s v="Lucas"/>
    <n v="45"/>
    <d v="2026-08-17T00:00:00"/>
    <x v="1"/>
    <d v="2026-08-28T00:00:00"/>
    <n v="952.8"/>
    <n v="0"/>
    <n v="0"/>
    <s v="2026-07"/>
  </r>
  <r>
    <d v="2026-07-04T00:00:00"/>
    <s v="NF-10180"/>
    <s v="Maxi Atacado"/>
    <s v="Operações"/>
    <s v="Consultoria"/>
    <n v="711.15"/>
    <s v="Transferência"/>
    <s v="Camila"/>
    <n v="45"/>
    <d v="2026-08-18T00:00:00"/>
    <x v="2"/>
    <m/>
    <n v="0"/>
    <n v="711.15"/>
    <n v="6"/>
    <s v="2026-07"/>
  </r>
  <r>
    <d v="2026-07-04T00:00:00"/>
    <s v="NF-10533"/>
    <s v="Maxi Atacado"/>
    <s v="Financeiro"/>
    <s v="Material de Escritório"/>
    <n v="1666.54"/>
    <s v="Boleto"/>
    <s v="Lucas"/>
    <n v="45"/>
    <d v="2026-08-18T00:00:00"/>
    <x v="2"/>
    <m/>
    <n v="0"/>
    <n v="1666.54"/>
    <n v="6"/>
    <s v="2026-07"/>
  </r>
  <r>
    <d v="2026-07-04T00:00:00"/>
    <s v="NF-10286"/>
    <s v="Beta Distribuidora"/>
    <s v="Financeiro"/>
    <s v="Serviços"/>
    <n v="808.59"/>
    <s v="PIX"/>
    <s v="Camila"/>
    <n v="7"/>
    <d v="2026-07-11T00:00:00"/>
    <x v="1"/>
    <d v="2026-07-15T00:00:00"/>
    <n v="808.59"/>
    <n v="0"/>
    <n v="0"/>
    <s v="2026-07"/>
  </r>
  <r>
    <d v="2026-07-05T00:00:00"/>
    <s v="NF-10557"/>
    <s v="Alfa Comércio Ltda."/>
    <s v="Comercial"/>
    <s v="Equipamentos"/>
    <n v="1186.6199999999999"/>
    <s v="Boleto"/>
    <s v="Ana"/>
    <n v="30"/>
    <d v="2026-08-04T00:00:00"/>
    <x v="2"/>
    <m/>
    <n v="0"/>
    <n v="1186.6199999999999"/>
    <n v="20"/>
    <s v="2026-07"/>
  </r>
  <r>
    <d v="2026-07-05T00:00:00"/>
    <s v="NF-10219"/>
    <s v="Jardim Suprimentos"/>
    <s v="Comercial"/>
    <s v="Software"/>
    <n v="941.43"/>
    <s v="Cartão"/>
    <s v="Fernanda"/>
    <n v="45"/>
    <d v="2026-08-19T00:00:00"/>
    <x v="1"/>
    <d v="2026-08-22T00:00:00"/>
    <n v="941.43"/>
    <n v="0"/>
    <n v="0"/>
    <s v="2026-07"/>
  </r>
  <r>
    <d v="2026-07-05T00:00:00"/>
    <s v="NF-10455"/>
    <s v="Jardim Suprimentos"/>
    <s v="Comercial"/>
    <s v="Software"/>
    <n v="2175.62"/>
    <s v="Cartão"/>
    <s v="Lucas"/>
    <n v="7"/>
    <d v="2026-07-12T00:00:00"/>
    <x v="0"/>
    <m/>
    <n v="0"/>
    <n v="2175.62"/>
    <n v="0"/>
    <s v="2026-07"/>
  </r>
  <r>
    <d v="2026-07-06T00:00:00"/>
    <s v="NF-10355"/>
    <s v="Capital Empresarial"/>
    <s v="Comercial"/>
    <s v="Consultoria"/>
    <n v="2553.19"/>
    <s v="Transferência"/>
    <s v="Camila"/>
    <n v="15"/>
    <d v="2026-07-21T00:00:00"/>
    <x v="1"/>
    <d v="2026-07-21T00:00:00"/>
    <n v="2553.19"/>
    <n v="0"/>
    <n v="0"/>
    <s v="2026-07"/>
  </r>
  <r>
    <d v="2026-07-06T00:00:00"/>
    <s v="NF-10262"/>
    <s v="Goiás Office"/>
    <s v="Administrativo"/>
    <s v="Material de Escritório"/>
    <n v="3455.32"/>
    <s v="Boleto"/>
    <s v="Camila"/>
    <n v="45"/>
    <d v="2026-08-20T00:00:00"/>
    <x v="0"/>
    <m/>
    <n v="0"/>
    <n v="3455.32"/>
    <n v="0"/>
    <s v="2026-07"/>
  </r>
  <r>
    <d v="2026-07-06T00:00:00"/>
    <s v="NF-10230"/>
    <s v="Maxi Atacado"/>
    <s v="Financeiro"/>
    <s v="Material de Escritório"/>
    <n v="1834.36"/>
    <s v="Transferência"/>
    <s v="Fernanda"/>
    <n v="30"/>
    <d v="2026-08-05T00:00:00"/>
    <x v="0"/>
    <m/>
    <n v="0"/>
    <n v="1834.36"/>
    <n v="0"/>
    <s v="2026-07"/>
  </r>
  <r>
    <d v="2026-07-06T00:00:00"/>
    <s v="NF-10173"/>
    <s v="Nexus Consultoria"/>
    <s v="Comercial"/>
    <s v="Software"/>
    <n v="788.61"/>
    <s v="PIX"/>
    <s v="Diego"/>
    <n v="30"/>
    <d v="2026-08-05T00:00:00"/>
    <x v="1"/>
    <d v="2026-08-09T00:00:00"/>
    <n v="788.61"/>
    <n v="0"/>
    <n v="0"/>
    <s v="2026-07"/>
  </r>
  <r>
    <d v="2026-07-06T00:00:00"/>
    <s v="NF-10268"/>
    <s v="Maxi Atacado"/>
    <s v="Financeiro"/>
    <s v="Material de Escritório"/>
    <n v="1046.74"/>
    <s v="Cartão"/>
    <s v="Lucas"/>
    <n v="30"/>
    <d v="2026-08-05T00:00:00"/>
    <x v="0"/>
    <m/>
    <n v="0"/>
    <n v="1046.74"/>
    <n v="0"/>
    <s v="2026-07"/>
  </r>
  <r>
    <d v="2026-07-07T00:00:00"/>
    <s v="NF-10066"/>
    <s v="NovaTech Soluções"/>
    <s v="Comercial"/>
    <s v="Software"/>
    <n v="1021.96"/>
    <s v="PIX"/>
    <s v="Camila"/>
    <n v="15"/>
    <d v="2026-07-22T00:00:00"/>
    <x v="0"/>
    <m/>
    <n v="0"/>
    <n v="1021.96"/>
    <n v="0"/>
    <s v="2026-07"/>
  </r>
  <r>
    <d v="2026-07-07T00:00:00"/>
    <s v="NF-10027"/>
    <s v="Aparecida Comercial"/>
    <s v="Financeiro"/>
    <s v="Material de Escritório"/>
    <n v="2330.66"/>
    <s v="PIX"/>
    <s v="Fernanda"/>
    <n v="30"/>
    <d v="2026-08-06T00:00:00"/>
    <x v="1"/>
    <d v="2026-08-08T00:00:00"/>
    <n v="2330.66"/>
    <n v="0"/>
    <n v="0"/>
    <s v="2026-07"/>
  </r>
  <r>
    <d v="2026-07-07T00:00:00"/>
    <s v="NF-10469"/>
    <s v="Maxi Atacado"/>
    <s v="Administrativo"/>
    <s v="Consultoria"/>
    <n v="1800.34"/>
    <s v="Boleto"/>
    <s v="Fernanda"/>
    <n v="45"/>
    <d v="2026-08-21T00:00:00"/>
    <x v="0"/>
    <m/>
    <n v="0"/>
    <n v="1800.34"/>
    <n v="0"/>
    <s v="2026-07"/>
  </r>
  <r>
    <d v="2026-07-07T00:00:00"/>
    <s v="NF-10037"/>
    <s v="Sul Center"/>
    <s v="Comercial"/>
    <s v="Equipamentos"/>
    <n v="1672.47"/>
    <s v="PIX"/>
    <s v="Lucas"/>
    <n v="7"/>
    <d v="2026-07-14T00:00:00"/>
    <x v="1"/>
    <d v="2026-07-25T00:00:00"/>
    <n v="1672.47"/>
    <n v="0"/>
    <n v="0"/>
    <s v="2026-07"/>
  </r>
  <r>
    <d v="2026-07-07T00:00:00"/>
    <s v="NF-10396"/>
    <s v="Sul Center"/>
    <s v="Comercial"/>
    <s v="Material de Escritório"/>
    <n v="1195.7"/>
    <s v="Transferência"/>
    <s v="Lucas"/>
    <n v="30"/>
    <d v="2026-08-06T00:00:00"/>
    <x v="1"/>
    <d v="2026-08-08T00:00:00"/>
    <n v="1195.7"/>
    <n v="0"/>
    <n v="0"/>
    <s v="2026-07"/>
  </r>
  <r>
    <d v="2026-07-07T00:00:00"/>
    <s v="NF-10104"/>
    <s v="Alfa Comércio Ltda."/>
    <s v="Administrativo"/>
    <s v="Material de Escritório"/>
    <n v="3991.27"/>
    <s v="Cartão"/>
    <s v="Camila"/>
    <n v="30"/>
    <d v="2026-08-06T00:00:00"/>
    <x v="0"/>
    <m/>
    <n v="0"/>
    <n v="3991.27"/>
    <n v="0"/>
    <s v="2026-07"/>
  </r>
  <r>
    <d v="2026-07-08T00:00:00"/>
    <s v="NF-10521"/>
    <s v="Beta Distribuidora"/>
    <s v="Operações"/>
    <s v="Consultoria"/>
    <n v="1836.98"/>
    <s v="Boleto"/>
    <s v="Camila"/>
    <n v="15"/>
    <d v="2026-07-23T00:00:00"/>
    <x v="1"/>
    <d v="2026-07-30T00:00:00"/>
    <n v="1836.98"/>
    <n v="0"/>
    <n v="0"/>
    <s v="2026-07"/>
  </r>
  <r>
    <d v="2026-07-08T00:00:00"/>
    <s v="NF-10576"/>
    <s v="Aparecida Comercial"/>
    <s v="Administrativo"/>
    <s v="Material de Escritório"/>
    <n v="714.37"/>
    <s v="Boleto"/>
    <s v="Fernanda"/>
    <n v="7"/>
    <d v="2026-07-15T00:00:00"/>
    <x v="1"/>
    <d v="2026-07-25T00:00:00"/>
    <n v="714.37"/>
    <n v="0"/>
    <n v="0"/>
    <s v="2026-07"/>
  </r>
  <r>
    <d v="2026-07-08T00:00:00"/>
    <s v="NF-10006"/>
    <s v="Central Materiais"/>
    <s v="Financeiro"/>
    <s v="Material de Escritório"/>
    <n v="2175.52"/>
    <s v="Transferência"/>
    <s v="Camila"/>
    <n v="30"/>
    <d v="2026-08-07T00:00:00"/>
    <x v="1"/>
    <d v="2026-08-17T00:00:00"/>
    <n v="2175.52"/>
    <n v="0"/>
    <n v="0"/>
    <s v="2026-07"/>
  </r>
  <r>
    <d v="2026-07-08T00:00:00"/>
    <s v="NF-10337"/>
    <s v="NovaTech Soluções"/>
    <s v="Administrativo"/>
    <s v="Equipamentos"/>
    <n v="963.63"/>
    <s v="PIX"/>
    <s v="Lucas"/>
    <n v="30"/>
    <d v="2026-08-07T00:00:00"/>
    <x v="1"/>
    <d v="2026-08-12T00:00:00"/>
    <n v="963.63"/>
    <n v="0"/>
    <n v="0"/>
    <s v="2026-07"/>
  </r>
  <r>
    <d v="2026-07-09T00:00:00"/>
    <s v="NF-10040"/>
    <s v="Central Materiais"/>
    <s v="Comercial"/>
    <s v="Software"/>
    <n v="1669.47"/>
    <s v="Transferência"/>
    <s v="Ana"/>
    <n v="45"/>
    <d v="2026-08-23T00:00:00"/>
    <x v="1"/>
    <d v="2026-08-24T00:00:00"/>
    <n v="1669.47"/>
    <n v="0"/>
    <n v="0"/>
    <s v="2026-07"/>
  </r>
  <r>
    <d v="2026-07-09T00:00:00"/>
    <s v="NF-10457"/>
    <s v="Prime Serviços"/>
    <s v="Financeiro"/>
    <s v="Consultoria"/>
    <n v="3038.55"/>
    <s v="Cartão"/>
    <s v="Diego"/>
    <n v="15"/>
    <d v="2026-07-24T00:00:00"/>
    <x v="1"/>
    <d v="2026-08-02T00:00:00"/>
    <n v="3038.55"/>
    <n v="0"/>
    <n v="0"/>
    <s v="2026-07"/>
  </r>
  <r>
    <d v="2026-07-09T00:00:00"/>
    <s v="NF-10043"/>
    <s v="Jardim Suprimentos"/>
    <s v="Financeiro"/>
    <s v="Material de Escritório"/>
    <n v="766.8"/>
    <s v="PIX"/>
    <s v="Camila"/>
    <n v="30"/>
    <d v="2026-08-08T00:00:00"/>
    <x v="2"/>
    <m/>
    <n v="0"/>
    <n v="766.8"/>
    <n v="16"/>
    <s v="2026-07"/>
  </r>
  <r>
    <d v="2026-07-09T00:00:00"/>
    <s v="NF-10041"/>
    <s v="Sul Center"/>
    <s v="Comercial"/>
    <s v="Consultoria"/>
    <n v="2277.8000000000002"/>
    <s v="Cartão"/>
    <s v="Camila"/>
    <n v="15"/>
    <d v="2026-07-24T00:00:00"/>
    <x v="1"/>
    <d v="2026-08-02T00:00:00"/>
    <n v="2277.8000000000002"/>
    <n v="0"/>
    <n v="0"/>
    <s v="2026-07"/>
  </r>
  <r>
    <d v="2026-07-09T00:00:00"/>
    <s v="NF-10196"/>
    <s v="Prime Serviços"/>
    <s v="Administrativo"/>
    <s v="Consultoria"/>
    <n v="950.76"/>
    <s v="PIX"/>
    <s v="Diego"/>
    <n v="30"/>
    <d v="2026-08-08T00:00:00"/>
    <x v="0"/>
    <m/>
    <n v="0"/>
    <n v="950.76"/>
    <n v="0"/>
    <s v="2026-07"/>
  </r>
  <r>
    <d v="2026-07-09T00:00:00"/>
    <s v="NF-10188"/>
    <s v="Prime Serviços"/>
    <s v="Financeiro"/>
    <s v="Equipamentos"/>
    <n v="816.52"/>
    <s v="Boleto"/>
    <s v="Camila"/>
    <n v="45"/>
    <d v="2026-08-23T00:00:00"/>
    <x v="1"/>
    <d v="2026-09-01T00:00:00"/>
    <n v="816.52"/>
    <n v="0"/>
    <n v="0"/>
    <s v="2026-07"/>
  </r>
  <r>
    <d v="2026-07-09T00:00:00"/>
    <s v="NF-10192"/>
    <s v="NovaTech Soluções"/>
    <s v="Operações"/>
    <s v="Equipamentos"/>
    <n v="319.7"/>
    <s v="Boleto"/>
    <s v="Fernanda"/>
    <n v="30"/>
    <d v="2026-08-08T00:00:00"/>
    <x v="1"/>
    <d v="2026-08-17T00:00:00"/>
    <n v="319.7"/>
    <n v="0"/>
    <n v="0"/>
    <s v="2026-07"/>
  </r>
  <r>
    <d v="2026-07-09T00:00:00"/>
    <s v="NF-10096"/>
    <s v="NovaTech Soluções"/>
    <s v="Financeiro"/>
    <s v="Serviços"/>
    <n v="1285.45"/>
    <s v="Transferência"/>
    <s v="Camila"/>
    <n v="15"/>
    <d v="2026-07-24T00:00:00"/>
    <x v="1"/>
    <d v="2026-07-24T00:00:00"/>
    <n v="1285.45"/>
    <n v="0"/>
    <n v="0"/>
    <s v="2026-07"/>
  </r>
  <r>
    <d v="2026-07-09T00:00:00"/>
    <s v="NF-10539"/>
    <s v="Jardim Suprimentos"/>
    <s v="Financeiro"/>
    <s v="Material de Escritório"/>
    <n v="2990.55"/>
    <s v="Cartão"/>
    <s v="Ana"/>
    <n v="15"/>
    <d v="2026-07-24T00:00:00"/>
    <x v="0"/>
    <m/>
    <n v="0"/>
    <n v="2990.55"/>
    <n v="0"/>
    <s v="2026-07"/>
  </r>
  <r>
    <d v="2026-07-09T00:00:00"/>
    <s v="NF-10089"/>
    <s v="Nexus Consultoria"/>
    <s v="Administrativo"/>
    <s v="Material de Escritório"/>
    <n v="919.29"/>
    <s v="Cartão"/>
    <s v="Bruno"/>
    <n v="30"/>
    <d v="2026-08-08T00:00:00"/>
    <x v="1"/>
    <d v="2026-08-15T00:00:00"/>
    <n v="919.29"/>
    <n v="0"/>
    <n v="0"/>
    <s v="2026-07"/>
  </r>
  <r>
    <d v="2026-07-10T00:00:00"/>
    <s v="NF-10451"/>
    <s v="Prime Serviços"/>
    <s v="Operações"/>
    <s v="Software"/>
    <n v="2325.52"/>
    <s v="Transferência"/>
    <s v="Lucas"/>
    <n v="30"/>
    <d v="2026-08-09T00:00:00"/>
    <x v="1"/>
    <d v="2026-08-20T00:00:00"/>
    <n v="2325.52"/>
    <n v="0"/>
    <n v="0"/>
    <s v="2026-07"/>
  </r>
  <r>
    <d v="2026-07-10T00:00:00"/>
    <s v="NF-10523"/>
    <s v="Goiás Office"/>
    <s v="Financeiro"/>
    <s v="Serviços"/>
    <n v="2071.8000000000002"/>
    <s v="Boleto"/>
    <s v="Camila"/>
    <n v="30"/>
    <d v="2026-08-09T00:00:00"/>
    <x v="1"/>
    <d v="2026-08-13T00:00:00"/>
    <n v="2071.8000000000002"/>
    <n v="0"/>
    <n v="0"/>
    <s v="2026-07"/>
  </r>
  <r>
    <d v="2026-07-10T00:00:00"/>
    <s v="NF-10084"/>
    <s v="Capital Empresarial"/>
    <s v="Operações"/>
    <s v="Serviços"/>
    <n v="1919.13"/>
    <s v="Cartão"/>
    <s v="Diego"/>
    <n v="30"/>
    <d v="2026-08-09T00:00:00"/>
    <x v="0"/>
    <m/>
    <n v="0"/>
    <n v="1919.13"/>
    <n v="0"/>
    <s v="2026-07"/>
  </r>
  <r>
    <d v="2026-07-10T00:00:00"/>
    <s v="NF-10398"/>
    <s v="Aparecida Comercial"/>
    <s v="Financeiro"/>
    <s v="Material de Escritório"/>
    <n v="2646.95"/>
    <s v="Transferência"/>
    <s v="Diego"/>
    <n v="30"/>
    <d v="2026-08-09T00:00:00"/>
    <x v="0"/>
    <m/>
    <n v="0"/>
    <n v="2646.95"/>
    <n v="0"/>
    <s v="2026-07"/>
  </r>
  <r>
    <d v="2026-07-11T00:00:00"/>
    <s v="NF-10379"/>
    <s v="Goiás Office"/>
    <s v="Operações"/>
    <s v="Serviços"/>
    <n v="3564.51"/>
    <s v="Transferência"/>
    <s v="Diego"/>
    <n v="30"/>
    <d v="2026-08-10T00:00:00"/>
    <x v="1"/>
    <d v="2026-08-12T00:00:00"/>
    <n v="3564.51"/>
    <n v="0"/>
    <n v="0"/>
    <s v="2026-07"/>
  </r>
  <r>
    <d v="2026-07-11T00:00:00"/>
    <s v="NF-10372"/>
    <s v="Maxi Atacado"/>
    <s v="Administrativo"/>
    <s v="Software"/>
    <n v="1518.85"/>
    <s v="PIX"/>
    <s v="Lucas"/>
    <n v="30"/>
    <d v="2026-08-10T00:00:00"/>
    <x v="1"/>
    <d v="2026-08-18T00:00:00"/>
    <n v="1518.85"/>
    <n v="0"/>
    <n v="0"/>
    <s v="2026-07"/>
  </r>
  <r>
    <d v="2026-07-11T00:00:00"/>
    <s v="NF-10026"/>
    <s v="Alfa Comércio Ltda."/>
    <s v="Comercial"/>
    <s v="Material de Escritório"/>
    <n v="2258.0100000000002"/>
    <s v="Cartão"/>
    <s v="Ana"/>
    <n v="30"/>
    <d v="2026-08-10T00:00:00"/>
    <x v="1"/>
    <d v="2026-08-19T00:00:00"/>
    <n v="2258.0100000000002"/>
    <n v="0"/>
    <n v="0"/>
    <s v="2026-07"/>
  </r>
  <r>
    <d v="2026-07-11T00:00:00"/>
    <s v="NF-10522"/>
    <s v="Maxi Atacado"/>
    <s v="Comercial"/>
    <s v="Material de Escritório"/>
    <n v="1680.69"/>
    <s v="Cartão"/>
    <s v="Diego"/>
    <n v="30"/>
    <d v="2026-08-10T00:00:00"/>
    <x v="1"/>
    <d v="2026-08-10T00:00:00"/>
    <n v="1680.69"/>
    <n v="0"/>
    <n v="0"/>
    <s v="2026-07"/>
  </r>
  <r>
    <d v="2026-07-12T00:00:00"/>
    <s v="NF-10142"/>
    <s v="Maxi Atacado"/>
    <s v="Operações"/>
    <s v="Software"/>
    <n v="1838.64"/>
    <s v="Transferência"/>
    <s v="Ana"/>
    <n v="15"/>
    <d v="2026-07-27T00:00:00"/>
    <x v="1"/>
    <d v="2026-08-05T00:00:00"/>
    <n v="1838.64"/>
    <n v="0"/>
    <n v="0"/>
    <s v="2026-07"/>
  </r>
  <r>
    <d v="2026-07-13T00:00:00"/>
    <s v="NF-10416"/>
    <s v="Alfa Comércio Ltda."/>
    <s v="Financeiro"/>
    <s v="Software"/>
    <n v="1211.48"/>
    <s v="Boleto"/>
    <s v="Diego"/>
    <n v="30"/>
    <d v="2026-08-12T00:00:00"/>
    <x v="1"/>
    <d v="2026-08-15T00:00:00"/>
    <n v="1211.48"/>
    <n v="0"/>
    <n v="0"/>
    <s v="2026-07"/>
  </r>
  <r>
    <d v="2026-07-13T00:00:00"/>
    <s v="NF-10333"/>
    <s v="Beta Distribuidora"/>
    <s v="Administrativo"/>
    <s v="Software"/>
    <n v="1632.77"/>
    <s v="Boleto"/>
    <s v="Ana"/>
    <n v="15"/>
    <d v="2026-07-28T00:00:00"/>
    <x v="1"/>
    <d v="2026-08-03T00:00:00"/>
    <n v="1632.77"/>
    <n v="0"/>
    <n v="0"/>
    <s v="2026-07"/>
  </r>
  <r>
    <d v="2026-07-14T00:00:00"/>
    <s v="NF-10272"/>
    <s v="Alfa Comércio Ltda."/>
    <s v="Operações"/>
    <s v="Material de Escritório"/>
    <n v="721.47"/>
    <s v="Boleto"/>
    <s v="Diego"/>
    <n v="45"/>
    <d v="2026-08-28T00:00:00"/>
    <x v="1"/>
    <d v="2026-09-02T00:00:00"/>
    <n v="721.47"/>
    <n v="0"/>
    <n v="0"/>
    <s v="2026-07"/>
  </r>
  <r>
    <d v="2026-07-14T00:00:00"/>
    <s v="NF-10527"/>
    <s v="Prime Serviços"/>
    <s v="Financeiro"/>
    <s v="Consultoria"/>
    <n v="2524.46"/>
    <s v="Boleto"/>
    <s v="Lucas"/>
    <n v="30"/>
    <d v="2026-08-13T00:00:00"/>
    <x v="1"/>
    <d v="2026-08-17T00:00:00"/>
    <n v="2524.46"/>
    <n v="0"/>
    <n v="0"/>
    <s v="2026-07"/>
  </r>
  <r>
    <d v="2026-07-14T00:00:00"/>
    <s v="NF-10349"/>
    <s v="Capital Empresarial"/>
    <s v="Comercial"/>
    <s v="Software"/>
    <n v="559.54"/>
    <s v="Boleto"/>
    <s v="Camila"/>
    <n v="30"/>
    <d v="2026-08-13T00:00:00"/>
    <x v="1"/>
    <d v="2026-08-22T00:00:00"/>
    <n v="559.54"/>
    <n v="0"/>
    <n v="0"/>
    <s v="2026-07"/>
  </r>
  <r>
    <d v="2026-07-15T00:00:00"/>
    <s v="NF-10477"/>
    <s v="Alfa Comércio Ltda."/>
    <s v="Administrativo"/>
    <s v="Consultoria"/>
    <n v="1406.96"/>
    <s v="Transferência"/>
    <s v="Ana"/>
    <n v="7"/>
    <d v="2026-07-22T00:00:00"/>
    <x v="1"/>
    <d v="2026-07-27T00:00:00"/>
    <n v="1406.96"/>
    <n v="0"/>
    <n v="0"/>
    <s v="2026-07"/>
  </r>
  <r>
    <d v="2026-07-16T00:00:00"/>
    <s v="NF-10540"/>
    <s v="Capital Empresarial"/>
    <s v="Financeiro"/>
    <s v="Consultoria"/>
    <n v="1767.32"/>
    <s v="Cartão"/>
    <s v="Camila"/>
    <n v="30"/>
    <d v="2026-08-15T00:00:00"/>
    <x v="1"/>
    <d v="2026-08-22T00:00:00"/>
    <n v="1767.32"/>
    <n v="0"/>
    <n v="0"/>
    <s v="2026-07"/>
  </r>
  <r>
    <d v="2026-07-16T00:00:00"/>
    <s v="NF-10302"/>
    <s v="Capital Empresarial"/>
    <s v="Comercial"/>
    <s v="Serviços"/>
    <n v="964.74"/>
    <s v="Boleto"/>
    <s v="Camila"/>
    <n v="30"/>
    <d v="2026-08-15T00:00:00"/>
    <x v="0"/>
    <m/>
    <n v="0"/>
    <n v="964.74"/>
    <n v="0"/>
    <s v="2026-07"/>
  </r>
  <r>
    <d v="2026-07-16T00:00:00"/>
    <s v="NF-10373"/>
    <s v="Aparecida Comercial"/>
    <s v="Operações"/>
    <s v="Consultoria"/>
    <n v="786.74"/>
    <s v="PIX"/>
    <s v="Diego"/>
    <n v="15"/>
    <d v="2026-07-31T00:00:00"/>
    <x v="1"/>
    <d v="2026-08-03T00:00:00"/>
    <n v="786.74"/>
    <n v="0"/>
    <n v="0"/>
    <s v="2026-07"/>
  </r>
  <r>
    <d v="2026-07-17T00:00:00"/>
    <s v="NF-10256"/>
    <s v="Aparecida Comercial"/>
    <s v="Financeiro"/>
    <s v="Material de Escritório"/>
    <n v="735.07"/>
    <s v="Transferência"/>
    <s v="Diego"/>
    <n v="45"/>
    <d v="2026-08-31T00:00:00"/>
    <x v="1"/>
    <d v="2026-09-06T00:00:00"/>
    <n v="735.07"/>
    <n v="0"/>
    <n v="0"/>
    <s v="2026-07"/>
  </r>
  <r>
    <d v="2026-07-17T00:00:00"/>
    <s v="NF-10202"/>
    <s v="Capital Empresarial"/>
    <s v="Comercial"/>
    <s v="Serviços"/>
    <n v="2649.89"/>
    <s v="Cartão"/>
    <s v="Diego"/>
    <n v="30"/>
    <d v="2026-08-16T00:00:00"/>
    <x v="1"/>
    <d v="2026-08-22T00:00:00"/>
    <n v="2649.89"/>
    <n v="0"/>
    <n v="0"/>
    <s v="2026-07"/>
  </r>
  <r>
    <d v="2026-07-17T00:00:00"/>
    <s v="NF-10243"/>
    <s v="Goiás Office"/>
    <s v="Financeiro"/>
    <s v="Serviços"/>
    <n v="993.85"/>
    <s v="Boleto"/>
    <s v="Camila"/>
    <n v="15"/>
    <d v="2026-08-01T00:00:00"/>
    <x v="1"/>
    <d v="2026-08-10T00:00:00"/>
    <n v="993.85"/>
    <n v="0"/>
    <n v="0"/>
    <s v="2026-07"/>
  </r>
  <r>
    <d v="2026-07-18T00:00:00"/>
    <s v="NF-10276"/>
    <s v="Beta Distribuidora"/>
    <s v="Comercial"/>
    <s v="Serviços"/>
    <n v="1047.8800000000001"/>
    <s v="PIX"/>
    <s v="Camila"/>
    <n v="15"/>
    <d v="2026-08-02T00:00:00"/>
    <x v="1"/>
    <d v="2026-08-12T00:00:00"/>
    <n v="1047.8800000000001"/>
    <n v="0"/>
    <n v="0"/>
    <s v="2026-07"/>
  </r>
  <r>
    <d v="2026-07-18T00:00:00"/>
    <s v="NF-10067"/>
    <s v="Aparecida Comercial"/>
    <s v="Comercial"/>
    <s v="Serviços"/>
    <n v="621.72"/>
    <s v="Boleto"/>
    <s v="Bruno"/>
    <n v="45"/>
    <d v="2026-09-01T00:00:00"/>
    <x v="2"/>
    <m/>
    <n v="0"/>
    <n v="621.72"/>
    <n v="1"/>
    <s v="2026-07"/>
  </r>
  <r>
    <d v="2026-07-19T00:00:00"/>
    <s v="NF-10320"/>
    <s v="Aparecida Comercial"/>
    <s v="Comercial"/>
    <s v="Software"/>
    <n v="3330.97"/>
    <s v="PIX"/>
    <s v="Bruno"/>
    <n v="7"/>
    <d v="2026-07-26T00:00:00"/>
    <x v="2"/>
    <m/>
    <n v="0"/>
    <n v="3330.97"/>
    <n v="29"/>
    <s v="2026-07"/>
  </r>
  <r>
    <d v="2026-07-19T00:00:00"/>
    <s v="NF-10094"/>
    <s v="Capital Empresarial"/>
    <s v="Comercial"/>
    <s v="Serviços"/>
    <n v="756.44"/>
    <s v="Cartão"/>
    <s v="Diego"/>
    <n v="15"/>
    <d v="2026-08-03T00:00:00"/>
    <x v="1"/>
    <d v="2026-08-03T00:00:00"/>
    <n v="756.44"/>
    <n v="0"/>
    <n v="0"/>
    <s v="2026-07"/>
  </r>
  <r>
    <d v="2026-07-19T00:00:00"/>
    <s v="NF-10203"/>
    <s v="Nexus Consultoria"/>
    <s v="Operações"/>
    <s v="Software"/>
    <n v="546.02"/>
    <s v="PIX"/>
    <s v="Lucas"/>
    <n v="30"/>
    <d v="2026-08-18T00:00:00"/>
    <x v="1"/>
    <d v="2026-08-26T00:00:00"/>
    <n v="546.02"/>
    <n v="0"/>
    <n v="0"/>
    <s v="2026-07"/>
  </r>
  <r>
    <d v="2026-07-20T00:00:00"/>
    <s v="NF-10129"/>
    <s v="Alfa Comércio Ltda."/>
    <s v="Operações"/>
    <s v="Software"/>
    <n v="977.66"/>
    <s v="Cartão"/>
    <s v="Fernanda"/>
    <n v="30"/>
    <d v="2026-08-19T00:00:00"/>
    <x v="1"/>
    <d v="2026-08-27T00:00:00"/>
    <n v="977.66"/>
    <n v="0"/>
    <n v="0"/>
    <s v="2026-07"/>
  </r>
  <r>
    <d v="2026-07-20T00:00:00"/>
    <s v="NF-10260"/>
    <s v="Prime Serviços"/>
    <s v="Administrativo"/>
    <s v="Material de Escritório"/>
    <n v="909.76"/>
    <s v="PIX"/>
    <s v="Camila"/>
    <n v="30"/>
    <d v="2026-08-19T00:00:00"/>
    <x v="1"/>
    <d v="2026-08-20T00:00:00"/>
    <n v="909.76"/>
    <n v="0"/>
    <n v="0"/>
    <s v="2026-07"/>
  </r>
  <r>
    <d v="2026-07-21T00:00:00"/>
    <s v="NF-10088"/>
    <s v="Aparecida Comercial"/>
    <s v="Administrativo"/>
    <s v="Consultoria"/>
    <n v="1693.82"/>
    <s v="Transferência"/>
    <s v="Fernanda"/>
    <n v="30"/>
    <d v="2026-08-20T00:00:00"/>
    <x v="0"/>
    <m/>
    <n v="0"/>
    <n v="1693.82"/>
    <n v="0"/>
    <s v="2026-07"/>
  </r>
  <r>
    <d v="2026-07-22T00:00:00"/>
    <s v="NF-10012"/>
    <s v="Central Materiais"/>
    <s v="Comercial"/>
    <s v="Equipamentos"/>
    <n v="577.78"/>
    <s v="PIX"/>
    <s v="Bruno"/>
    <n v="15"/>
    <d v="2026-08-06T00:00:00"/>
    <x v="1"/>
    <d v="2026-08-09T00:00:00"/>
    <n v="577.78"/>
    <n v="0"/>
    <n v="0"/>
    <s v="2026-07"/>
  </r>
  <r>
    <d v="2026-07-22T00:00:00"/>
    <s v="NF-10247"/>
    <s v="Alfa Comércio Ltda."/>
    <s v="Financeiro"/>
    <s v="Serviços"/>
    <n v="1989.45"/>
    <s v="PIX"/>
    <s v="Bruno"/>
    <n v="30"/>
    <d v="2026-08-21T00:00:00"/>
    <x v="1"/>
    <d v="2026-08-21T00:00:00"/>
    <n v="1989.45"/>
    <n v="0"/>
    <n v="0"/>
    <s v="2026-07"/>
  </r>
  <r>
    <d v="2026-07-23T00:00:00"/>
    <s v="NF-10354"/>
    <s v="Sul Center"/>
    <s v="Comercial"/>
    <s v="Serviços"/>
    <n v="1520.8"/>
    <s v="Cartão"/>
    <s v="Lucas"/>
    <n v="30"/>
    <d v="2026-08-22T00:00:00"/>
    <x v="1"/>
    <d v="2026-08-24T00:00:00"/>
    <n v="1520.8"/>
    <n v="0"/>
    <n v="0"/>
    <s v="2026-07"/>
  </r>
  <r>
    <d v="2026-07-23T00:00:00"/>
    <s v="NF-10444"/>
    <s v="Aparecida Comercial"/>
    <s v="Comercial"/>
    <s v="Equipamentos"/>
    <n v="7416.04"/>
    <s v="PIX"/>
    <s v="Bruno"/>
    <n v="30"/>
    <d v="2026-08-22T00:00:00"/>
    <x v="1"/>
    <d v="2026-08-22T00:00:00"/>
    <n v="7416.04"/>
    <n v="0"/>
    <n v="0"/>
    <s v="2026-07"/>
  </r>
  <r>
    <d v="2026-07-23T00:00:00"/>
    <s v="NF-10541"/>
    <s v="Central Materiais"/>
    <s v="Administrativo"/>
    <s v="Consultoria"/>
    <n v="1074.51"/>
    <s v="Transferência"/>
    <s v="Fernanda"/>
    <n v="30"/>
    <d v="2026-08-22T00:00:00"/>
    <x v="1"/>
    <d v="2026-09-02T00:00:00"/>
    <n v="1074.51"/>
    <n v="0"/>
    <n v="0"/>
    <s v="2026-07"/>
  </r>
  <r>
    <d v="2026-07-23T00:00:00"/>
    <s v="NF-10030"/>
    <s v="NovaTech Soluções"/>
    <s v="Comercial"/>
    <s v="Equipamentos"/>
    <n v="2568.9899999999998"/>
    <s v="PIX"/>
    <s v="Ana"/>
    <n v="7"/>
    <d v="2026-07-30T00:00:00"/>
    <x v="1"/>
    <d v="2026-08-01T00:00:00"/>
    <n v="2568.9899999999998"/>
    <n v="0"/>
    <n v="0"/>
    <s v="2026-07"/>
  </r>
  <r>
    <d v="2026-07-24T00:00:00"/>
    <s v="NF-10199"/>
    <s v="NovaTech Soluções"/>
    <s v="Administrativo"/>
    <s v="Consultoria"/>
    <n v="833.68"/>
    <s v="Boleto"/>
    <s v="Lucas"/>
    <n v="30"/>
    <d v="2026-08-23T00:00:00"/>
    <x v="1"/>
    <d v="2026-09-03T00:00:00"/>
    <n v="833.68"/>
    <n v="0"/>
    <n v="0"/>
    <s v="2026-07"/>
  </r>
  <r>
    <d v="2026-07-24T00:00:00"/>
    <s v="NF-10158"/>
    <s v="NovaTech Soluções"/>
    <s v="Administrativo"/>
    <s v="Serviços"/>
    <n v="3412"/>
    <s v="PIX"/>
    <s v="Diego"/>
    <n v="15"/>
    <d v="2026-08-08T00:00:00"/>
    <x v="1"/>
    <d v="2026-08-19T00:00:00"/>
    <n v="3412"/>
    <n v="0"/>
    <n v="0"/>
    <s v="2026-07"/>
  </r>
  <r>
    <d v="2026-07-25T00:00:00"/>
    <s v="NF-10535"/>
    <s v="NovaTech Soluções"/>
    <s v="Financeiro"/>
    <s v="Consultoria"/>
    <n v="2015.05"/>
    <s v="PIX"/>
    <s v="Bruno"/>
    <n v="30"/>
    <d v="2026-08-24T00:00:00"/>
    <x v="1"/>
    <d v="2026-08-25T00:00:00"/>
    <n v="2015.05"/>
    <n v="0"/>
    <n v="0"/>
    <s v="2026-07"/>
  </r>
  <r>
    <d v="2026-07-25T00:00:00"/>
    <s v="NF-10095"/>
    <s v="Beta Distribuidora"/>
    <s v="Comercial"/>
    <s v="Equipamentos"/>
    <n v="942.98"/>
    <s v="Boleto"/>
    <s v="Fernanda"/>
    <n v="30"/>
    <d v="2026-08-24T00:00:00"/>
    <x v="2"/>
    <m/>
    <n v="0"/>
    <n v="942.98"/>
    <n v="1"/>
    <s v="2026-07"/>
  </r>
  <r>
    <d v="2026-07-25T00:00:00"/>
    <s v="NF-10072"/>
    <s v="Capital Empresarial"/>
    <s v="Operações"/>
    <s v="Equipamentos"/>
    <n v="1161.1500000000001"/>
    <s v="PIX"/>
    <s v="Fernanda"/>
    <n v="15"/>
    <d v="2026-08-09T00:00:00"/>
    <x v="1"/>
    <d v="2026-08-14T00:00:00"/>
    <n v="1161.1500000000001"/>
    <n v="0"/>
    <n v="0"/>
    <s v="2026-07"/>
  </r>
  <r>
    <d v="2026-07-25T00:00:00"/>
    <s v="NF-10145"/>
    <s v="NovaTech Soluções"/>
    <s v="Financeiro"/>
    <s v="Equipamentos"/>
    <n v="6192.7"/>
    <s v="Transferência"/>
    <s v="Fernanda"/>
    <n v="45"/>
    <d v="2026-09-08T00:00:00"/>
    <x v="1"/>
    <d v="2026-09-09T00:00:00"/>
    <n v="6192.7"/>
    <n v="0"/>
    <n v="0"/>
    <s v="2026-07"/>
  </r>
  <r>
    <d v="2026-07-26T00:00:00"/>
    <s v="NF-10153"/>
    <s v="Sul Center"/>
    <s v="Financeiro"/>
    <s v="Software"/>
    <n v="912.5"/>
    <s v="Transferência"/>
    <s v="Fernanda"/>
    <n v="30"/>
    <d v="2026-08-25T00:00:00"/>
    <x v="1"/>
    <d v="2026-09-03T00:00:00"/>
    <n v="912.5"/>
    <n v="0"/>
    <n v="0"/>
    <s v="2026-07"/>
  </r>
  <r>
    <d v="2026-07-26T00:00:00"/>
    <s v="NF-10211"/>
    <s v="Alfa Comércio Ltda."/>
    <s v="Administrativo"/>
    <s v="Equipamentos"/>
    <n v="1508.43"/>
    <s v="Boleto"/>
    <s v="Diego"/>
    <n v="7"/>
    <d v="2026-08-02T00:00:00"/>
    <x v="0"/>
    <m/>
    <n v="0"/>
    <n v="1508.43"/>
    <n v="0"/>
    <s v="2026-07"/>
  </r>
  <r>
    <d v="2026-07-27T00:00:00"/>
    <s v="NF-10264"/>
    <s v="Beta Distribuidora"/>
    <s v="Administrativo"/>
    <s v="Equipamentos"/>
    <n v="1177.1099999999999"/>
    <s v="Boleto"/>
    <s v="Diego"/>
    <n v="30"/>
    <d v="2026-08-26T00:00:00"/>
    <x v="2"/>
    <m/>
    <n v="0"/>
    <n v="1177.1099999999999"/>
    <n v="1"/>
    <s v="2026-07"/>
  </r>
  <r>
    <d v="2026-07-27T00:00:00"/>
    <s v="NF-10098"/>
    <s v="Prime Serviços"/>
    <s v="Operações"/>
    <s v="Serviços"/>
    <n v="1908.99"/>
    <s v="Boleto"/>
    <s v="Fernanda"/>
    <n v="15"/>
    <d v="2026-08-11T00:00:00"/>
    <x v="1"/>
    <d v="2026-08-12T00:00:00"/>
    <n v="1908.99"/>
    <n v="0"/>
    <n v="0"/>
    <s v="2026-07"/>
  </r>
  <r>
    <d v="2026-07-27T00:00:00"/>
    <s v="NF-10309"/>
    <s v="Nexus Consultoria"/>
    <s v="Operações"/>
    <s v="Equipamentos"/>
    <n v="2232.6799999999998"/>
    <s v="Cartão"/>
    <s v="Bruno"/>
    <n v="7"/>
    <d v="2026-08-03T00:00:00"/>
    <x v="1"/>
    <d v="2026-08-05T00:00:00"/>
    <n v="2232.6799999999998"/>
    <n v="0"/>
    <n v="0"/>
    <s v="2026-07"/>
  </r>
  <r>
    <d v="2026-07-27T00:00:00"/>
    <s v="NF-10336"/>
    <s v="Goiás Office"/>
    <s v="Operações"/>
    <s v="Software"/>
    <n v="5959.18"/>
    <s v="Transferência"/>
    <s v="Diego"/>
    <n v="30"/>
    <d v="2026-08-26T00:00:00"/>
    <x v="1"/>
    <d v="2026-09-06T00:00:00"/>
    <n v="5959.18"/>
    <n v="0"/>
    <n v="0"/>
    <s v="2026-07"/>
  </r>
  <r>
    <d v="2026-07-27T00:00:00"/>
    <s v="NF-10038"/>
    <s v="Alfa Comércio Ltda."/>
    <s v="Comercial"/>
    <s v="Consultoria"/>
    <n v="768.1"/>
    <s v="PIX"/>
    <s v="Ana"/>
    <n v="45"/>
    <d v="2026-09-10T00:00:00"/>
    <x v="1"/>
    <d v="2026-09-10T00:00:00"/>
    <n v="768.1"/>
    <n v="0"/>
    <n v="0"/>
    <s v="2026-07"/>
  </r>
  <r>
    <d v="2026-07-30T00:00:00"/>
    <s v="NF-10010"/>
    <s v="Jardim Suprimentos"/>
    <s v="Operações"/>
    <s v="Software"/>
    <n v="597.73"/>
    <s v="Transferência"/>
    <s v="Ana"/>
    <n v="7"/>
    <d v="2026-08-06T00:00:00"/>
    <x v="0"/>
    <m/>
    <n v="0"/>
    <n v="597.73"/>
    <n v="0"/>
    <s v="2026-0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d v="2026-01-01T00:00:00"/>
    <s v="NF-10559"/>
    <x v="0"/>
    <s v="Comercial"/>
    <s v="Equipamentos"/>
    <n v="2279.75"/>
    <s v="PIX"/>
    <s v="Diego"/>
    <n v="30"/>
    <d v="2026-01-31T00:00:00"/>
    <s v="Em aberto"/>
    <m/>
    <n v="0"/>
    <n v="2279.75"/>
    <n v="0"/>
    <x v="0"/>
  </r>
  <r>
    <d v="2026-01-01T00:00:00"/>
    <s v="NF-10147"/>
    <x v="1"/>
    <s v="Financeiro"/>
    <s v="Consultoria"/>
    <n v="1992.26"/>
    <s v="Boleto"/>
    <s v="Ana"/>
    <n v="45"/>
    <d v="2026-02-15T00:00:00"/>
    <s v="Em aberto"/>
    <m/>
    <n v="0"/>
    <n v="1992.26"/>
    <n v="0"/>
    <x v="0"/>
  </r>
  <r>
    <d v="2026-01-01T00:00:00"/>
    <s v="NF-10511"/>
    <x v="2"/>
    <s v="Comercial"/>
    <s v="Serviços"/>
    <n v="3134.88"/>
    <s v="Cartão"/>
    <s v="Diego"/>
    <n v="7"/>
    <d v="2026-01-08T00:00:00"/>
    <s v="Pago"/>
    <d v="2026-01-18T00:00:00"/>
    <n v="3134.88"/>
    <n v="0"/>
    <n v="0"/>
    <x v="0"/>
  </r>
  <r>
    <d v="2026-01-02T00:00:00"/>
    <s v="NF-10565"/>
    <x v="2"/>
    <s v="Administrativo"/>
    <s v="Software"/>
    <n v="432.76"/>
    <s v="Boleto"/>
    <s v="Ana"/>
    <n v="30"/>
    <d v="2026-02-01T00:00:00"/>
    <s v="Pago"/>
    <d v="2026-02-04T00:00:00"/>
    <n v="432.76"/>
    <n v="0"/>
    <n v="0"/>
    <x v="0"/>
  </r>
  <r>
    <d v="2026-01-02T00:00:00"/>
    <s v="NF-10298"/>
    <x v="2"/>
    <s v="Financeiro"/>
    <s v="Software"/>
    <n v="1061.97"/>
    <s v="PIX"/>
    <s v="Diego"/>
    <n v="45"/>
    <d v="2026-02-16T00:00:00"/>
    <s v="Pago"/>
    <d v="2026-02-25T00:00:00"/>
    <n v="1061.97"/>
    <n v="0"/>
    <n v="0"/>
    <x v="0"/>
  </r>
  <r>
    <d v="2026-01-02T00:00:00"/>
    <s v="NF-10232"/>
    <x v="3"/>
    <s v="Financeiro"/>
    <s v="Material de Escritório"/>
    <n v="1613.06"/>
    <s v="Boleto"/>
    <s v="Lucas"/>
    <n v="30"/>
    <d v="2026-02-01T00:00:00"/>
    <s v="Pago"/>
    <d v="2026-02-02T00:00:00"/>
    <n v="1613.06"/>
    <n v="0"/>
    <n v="0"/>
    <x v="0"/>
  </r>
  <r>
    <d v="2026-01-02T00:00:00"/>
    <s v="NF-10021"/>
    <x v="2"/>
    <s v="Financeiro"/>
    <s v="Equipamentos"/>
    <n v="859.62"/>
    <s v="Boleto"/>
    <s v="Ana"/>
    <n v="15"/>
    <d v="2026-01-17T00:00:00"/>
    <s v="Pago"/>
    <d v="2026-01-21T00:00:00"/>
    <n v="859.62"/>
    <n v="0"/>
    <n v="0"/>
    <x v="0"/>
  </r>
  <r>
    <d v="2026-01-02T00:00:00"/>
    <s v="NF-10078"/>
    <x v="4"/>
    <s v="Administrativo"/>
    <s v="Equipamentos"/>
    <n v="1097.5899999999999"/>
    <s v="Cartão"/>
    <s v="Bruno"/>
    <n v="30"/>
    <d v="2026-02-01T00:00:00"/>
    <s v="Pago"/>
    <d v="2026-02-01T00:00:00"/>
    <n v="1097.5899999999999"/>
    <n v="0"/>
    <n v="0"/>
    <x v="0"/>
  </r>
  <r>
    <d v="2026-01-03T00:00:00"/>
    <s v="NF-10266"/>
    <x v="5"/>
    <s v="Operações"/>
    <s v="Equipamentos"/>
    <n v="1609.11"/>
    <s v="PIX"/>
    <s v="Camila"/>
    <n v="45"/>
    <d v="2026-02-17T00:00:00"/>
    <s v="Em aberto"/>
    <m/>
    <n v="0"/>
    <n v="1609.11"/>
    <n v="0"/>
    <x v="0"/>
  </r>
  <r>
    <d v="2026-01-03T00:00:00"/>
    <s v="NF-10200"/>
    <x v="6"/>
    <s v="Comercial"/>
    <s v="Software"/>
    <n v="790.54"/>
    <s v="Boleto"/>
    <s v="Fernanda"/>
    <n v="30"/>
    <d v="2026-02-02T00:00:00"/>
    <s v="Pago"/>
    <d v="2026-02-07T00:00:00"/>
    <n v="790.54"/>
    <n v="0"/>
    <n v="0"/>
    <x v="0"/>
  </r>
  <r>
    <d v="2026-01-04T00:00:00"/>
    <s v="NF-10377"/>
    <x v="4"/>
    <s v="Comercial"/>
    <s v="Material de Escritório"/>
    <n v="748.06"/>
    <s v="Transferência"/>
    <s v="Ana"/>
    <n v="45"/>
    <d v="2026-02-18T00:00:00"/>
    <s v="Em atraso"/>
    <m/>
    <n v="0"/>
    <n v="748.06"/>
    <n v="187"/>
    <x v="0"/>
  </r>
  <r>
    <d v="2026-01-04T00:00:00"/>
    <s v="NF-10561"/>
    <x v="7"/>
    <s v="Administrativo"/>
    <s v="Serviços"/>
    <n v="4317.4799999999996"/>
    <s v="Transferência"/>
    <s v="Ana"/>
    <n v="15"/>
    <d v="2026-01-19T00:00:00"/>
    <s v="Pago"/>
    <d v="2026-01-22T00:00:00"/>
    <n v="4317.4799999999996"/>
    <n v="0"/>
    <n v="0"/>
    <x v="0"/>
  </r>
  <r>
    <d v="2026-01-04T00:00:00"/>
    <s v="NF-10082"/>
    <x v="6"/>
    <s v="Financeiro"/>
    <s v="Consultoria"/>
    <n v="1800.48"/>
    <s v="Boleto"/>
    <s v="Ana"/>
    <n v="45"/>
    <d v="2026-02-18T00:00:00"/>
    <s v="Pago"/>
    <d v="2026-02-26T00:00:00"/>
    <n v="1800.48"/>
    <n v="0"/>
    <n v="0"/>
    <x v="0"/>
  </r>
  <r>
    <d v="2026-01-05T00:00:00"/>
    <s v="NF-10125"/>
    <x v="1"/>
    <s v="Financeiro"/>
    <s v="Equipamentos"/>
    <n v="1570.94"/>
    <s v="PIX"/>
    <s v="Diego"/>
    <n v="30"/>
    <d v="2026-02-04T00:00:00"/>
    <s v="Pago"/>
    <d v="2026-02-14T00:00:00"/>
    <n v="1570.94"/>
    <n v="0"/>
    <n v="0"/>
    <x v="0"/>
  </r>
  <r>
    <d v="2026-01-05T00:00:00"/>
    <s v="NF-10148"/>
    <x v="3"/>
    <s v="Operações"/>
    <s v="Material de Escritório"/>
    <n v="586.80999999999995"/>
    <s v="Cartão"/>
    <s v="Camila"/>
    <n v="30"/>
    <d v="2026-02-04T00:00:00"/>
    <s v="Em atraso"/>
    <m/>
    <n v="0"/>
    <n v="586.80999999999995"/>
    <n v="201"/>
    <x v="0"/>
  </r>
  <r>
    <d v="2026-01-05T00:00:00"/>
    <s v="NF-10475"/>
    <x v="2"/>
    <s v="Operações"/>
    <s v="Serviços"/>
    <n v="342.53"/>
    <s v="PIX"/>
    <s v="Bruno"/>
    <n v="30"/>
    <d v="2026-02-04T00:00:00"/>
    <s v="Em atraso"/>
    <m/>
    <n v="0"/>
    <n v="342.53"/>
    <n v="201"/>
    <x v="0"/>
  </r>
  <r>
    <d v="2026-01-06T00:00:00"/>
    <s v="NF-10386"/>
    <x v="8"/>
    <s v="Operações"/>
    <s v="Consultoria"/>
    <n v="1796.44"/>
    <s v="PIX"/>
    <s v="Fernanda"/>
    <n v="30"/>
    <d v="2026-02-05T00:00:00"/>
    <s v="Em aberto"/>
    <m/>
    <n v="0"/>
    <n v="1796.44"/>
    <n v="0"/>
    <x v="0"/>
  </r>
  <r>
    <d v="2026-01-06T00:00:00"/>
    <s v="NF-10478"/>
    <x v="9"/>
    <s v="Comercial"/>
    <s v="Material de Escritório"/>
    <n v="1058.8399999999999"/>
    <s v="PIX"/>
    <s v="Ana"/>
    <n v="30"/>
    <d v="2026-02-05T00:00:00"/>
    <s v="Pago"/>
    <d v="2026-02-09T00:00:00"/>
    <n v="1058.8399999999999"/>
    <n v="0"/>
    <n v="0"/>
    <x v="0"/>
  </r>
  <r>
    <d v="2026-01-07T00:00:00"/>
    <s v="NF-10292"/>
    <x v="10"/>
    <s v="Financeiro"/>
    <s v="Software"/>
    <n v="1416.29"/>
    <s v="Boleto"/>
    <s v="Ana"/>
    <n v="7"/>
    <d v="2026-01-14T00:00:00"/>
    <s v="Em atraso"/>
    <m/>
    <n v="0"/>
    <n v="1416.29"/>
    <n v="222"/>
    <x v="0"/>
  </r>
  <r>
    <d v="2026-01-08T00:00:00"/>
    <s v="NF-10364"/>
    <x v="5"/>
    <s v="Operações"/>
    <s v="Equipamentos"/>
    <n v="2653.85"/>
    <s v="PIX"/>
    <s v="Lucas"/>
    <n v="30"/>
    <d v="2026-02-07T00:00:00"/>
    <s v="Pago"/>
    <d v="2026-02-16T00:00:00"/>
    <n v="2653.85"/>
    <n v="0"/>
    <n v="0"/>
    <x v="0"/>
  </r>
  <r>
    <d v="2026-01-08T00:00:00"/>
    <s v="NF-10441"/>
    <x v="7"/>
    <s v="Comercial"/>
    <s v="Material de Escritório"/>
    <n v="1424.75"/>
    <s v="Cartão"/>
    <s v="Bruno"/>
    <n v="7"/>
    <d v="2026-01-15T00:00:00"/>
    <s v="Em atraso"/>
    <m/>
    <n v="0"/>
    <n v="1424.75"/>
    <n v="221"/>
    <x v="0"/>
  </r>
  <r>
    <d v="2026-01-08T00:00:00"/>
    <s v="NF-10597"/>
    <x v="7"/>
    <s v="Administrativo"/>
    <s v="Software"/>
    <n v="1059.95"/>
    <s v="PIX"/>
    <s v="Fernanda"/>
    <n v="30"/>
    <d v="2026-02-07T00:00:00"/>
    <s v="Pago"/>
    <d v="2026-02-09T00:00:00"/>
    <n v="1059.95"/>
    <n v="0"/>
    <n v="0"/>
    <x v="0"/>
  </r>
  <r>
    <d v="2026-01-08T00:00:00"/>
    <s v="NF-10471"/>
    <x v="10"/>
    <s v="Comercial"/>
    <s v="Serviços"/>
    <n v="2196.2399999999998"/>
    <s v="PIX"/>
    <s v="Bruno"/>
    <n v="7"/>
    <d v="2026-01-15T00:00:00"/>
    <s v="Pago"/>
    <d v="2026-01-22T00:00:00"/>
    <n v="2196.2399999999998"/>
    <n v="0"/>
    <n v="0"/>
    <x v="0"/>
  </r>
  <r>
    <d v="2026-01-08T00:00:00"/>
    <s v="NF-10069"/>
    <x v="11"/>
    <s v="Operações"/>
    <s v="Consultoria"/>
    <n v="1134.19"/>
    <s v="PIX"/>
    <s v="Fernanda"/>
    <n v="7"/>
    <d v="2026-01-15T00:00:00"/>
    <s v="Em atraso"/>
    <m/>
    <n v="0"/>
    <n v="1134.19"/>
    <n v="221"/>
    <x v="0"/>
  </r>
  <r>
    <d v="2026-01-09T00:00:00"/>
    <s v="NF-10113"/>
    <x v="10"/>
    <s v="Financeiro"/>
    <s v="Software"/>
    <n v="3388.76"/>
    <s v="PIX"/>
    <s v="Camila"/>
    <n v="45"/>
    <d v="2026-02-23T00:00:00"/>
    <s v="Pago"/>
    <d v="2026-02-27T00:00:00"/>
    <n v="3388.76"/>
    <n v="0"/>
    <n v="0"/>
    <x v="0"/>
  </r>
  <r>
    <d v="2026-01-09T00:00:00"/>
    <s v="NF-10059"/>
    <x v="2"/>
    <s v="Comercial"/>
    <s v="Consultoria"/>
    <n v="1344.54"/>
    <s v="Cartão"/>
    <s v="Diego"/>
    <n v="7"/>
    <d v="2026-01-16T00:00:00"/>
    <s v="Pago"/>
    <d v="2026-01-25T00:00:00"/>
    <n v="1344.54"/>
    <n v="0"/>
    <n v="0"/>
    <x v="0"/>
  </r>
  <r>
    <d v="2026-01-09T00:00:00"/>
    <s v="NF-10305"/>
    <x v="8"/>
    <s v="Operações"/>
    <s v="Software"/>
    <n v="970.38"/>
    <s v="Cartão"/>
    <s v="Bruno"/>
    <n v="30"/>
    <d v="2026-02-08T00:00:00"/>
    <s v="Pago"/>
    <d v="2026-02-12T00:00:00"/>
    <n v="970.38"/>
    <n v="0"/>
    <n v="0"/>
    <x v="0"/>
  </r>
  <r>
    <d v="2026-01-10T00:00:00"/>
    <s v="NF-10550"/>
    <x v="2"/>
    <s v="Comercial"/>
    <s v="Software"/>
    <n v="1028.44"/>
    <s v="PIX"/>
    <s v="Diego"/>
    <n v="7"/>
    <d v="2026-01-17T00:00:00"/>
    <s v="Pago"/>
    <d v="2026-01-27T00:00:00"/>
    <n v="1028.44"/>
    <n v="0"/>
    <n v="0"/>
    <x v="0"/>
  </r>
  <r>
    <d v="2026-01-11T00:00:00"/>
    <s v="NF-10285"/>
    <x v="0"/>
    <s v="Administrativo"/>
    <s v="Software"/>
    <n v="5723.93"/>
    <s v="PIX"/>
    <s v="Fernanda"/>
    <n v="15"/>
    <d v="2026-01-26T00:00:00"/>
    <s v="Pago"/>
    <d v="2026-02-05T00:00:00"/>
    <n v="5723.93"/>
    <n v="0"/>
    <n v="0"/>
    <x v="0"/>
  </r>
  <r>
    <d v="2026-01-12T00:00:00"/>
    <s v="NF-10221"/>
    <x v="5"/>
    <s v="Comercial"/>
    <s v="Software"/>
    <n v="1304.19"/>
    <s v="Transferência"/>
    <s v="Camila"/>
    <n v="15"/>
    <d v="2026-01-27T00:00:00"/>
    <s v="Pago"/>
    <d v="2026-02-06T00:00:00"/>
    <n v="1304.19"/>
    <n v="0"/>
    <n v="0"/>
    <x v="0"/>
  </r>
  <r>
    <d v="2026-01-12T00:00:00"/>
    <s v="NF-10590"/>
    <x v="3"/>
    <s v="Operações"/>
    <s v="Equipamentos"/>
    <n v="823.05"/>
    <s v="Cartão"/>
    <s v="Lucas"/>
    <n v="30"/>
    <d v="2026-02-11T00:00:00"/>
    <s v="Em aberto"/>
    <m/>
    <n v="0"/>
    <n v="823.05"/>
    <n v="0"/>
    <x v="0"/>
  </r>
  <r>
    <d v="2026-01-12T00:00:00"/>
    <s v="NF-10131"/>
    <x v="1"/>
    <s v="Financeiro"/>
    <s v="Serviços"/>
    <n v="5022.33"/>
    <s v="Transferência"/>
    <s v="Lucas"/>
    <n v="45"/>
    <d v="2026-02-26T00:00:00"/>
    <s v="Pago"/>
    <d v="2026-03-09T00:00:00"/>
    <n v="5022.33"/>
    <n v="0"/>
    <n v="0"/>
    <x v="0"/>
  </r>
  <r>
    <d v="2026-01-12T00:00:00"/>
    <s v="NF-10580"/>
    <x v="6"/>
    <s v="Administrativo"/>
    <s v="Serviços"/>
    <n v="1199.74"/>
    <s v="Transferência"/>
    <s v="Ana"/>
    <n v="30"/>
    <d v="2026-02-11T00:00:00"/>
    <s v="Pago"/>
    <d v="2026-02-18T00:00:00"/>
    <n v="1199.74"/>
    <n v="0"/>
    <n v="0"/>
    <x v="0"/>
  </r>
  <r>
    <d v="2026-01-13T00:00:00"/>
    <s v="NF-10433"/>
    <x v="3"/>
    <s v="Comercial"/>
    <s v="Equipamentos"/>
    <n v="1308.46"/>
    <s v="Cartão"/>
    <s v="Bruno"/>
    <n v="15"/>
    <d v="2026-01-28T00:00:00"/>
    <s v="Pago"/>
    <d v="2026-02-01T00:00:00"/>
    <n v="1308.46"/>
    <n v="0"/>
    <n v="0"/>
    <x v="0"/>
  </r>
  <r>
    <d v="2026-01-13T00:00:00"/>
    <s v="NF-10488"/>
    <x v="2"/>
    <s v="Administrativo"/>
    <s v="Consultoria"/>
    <n v="411.72"/>
    <s v="Boleto"/>
    <s v="Lucas"/>
    <n v="7"/>
    <d v="2026-01-20T00:00:00"/>
    <s v="Pago"/>
    <d v="2026-01-31T00:00:00"/>
    <n v="411.72"/>
    <n v="0"/>
    <n v="0"/>
    <x v="0"/>
  </r>
  <r>
    <d v="2026-01-13T00:00:00"/>
    <s v="NF-10170"/>
    <x v="7"/>
    <s v="Financeiro"/>
    <s v="Consultoria"/>
    <n v="2474.81"/>
    <s v="Transferência"/>
    <s v="Lucas"/>
    <n v="30"/>
    <d v="2026-02-12T00:00:00"/>
    <s v="Pago"/>
    <d v="2026-02-15T00:00:00"/>
    <n v="2474.81"/>
    <n v="0"/>
    <n v="0"/>
    <x v="0"/>
  </r>
  <r>
    <d v="2026-01-14T00:00:00"/>
    <s v="NF-10058"/>
    <x v="3"/>
    <s v="Operações"/>
    <s v="Equipamentos"/>
    <n v="667.6"/>
    <s v="Boleto"/>
    <s v="Camila"/>
    <n v="15"/>
    <d v="2026-01-29T00:00:00"/>
    <s v="Em aberto"/>
    <m/>
    <n v="0"/>
    <n v="667.6"/>
    <n v="0"/>
    <x v="0"/>
  </r>
  <r>
    <d v="2026-01-14T00:00:00"/>
    <s v="NF-10090"/>
    <x v="8"/>
    <s v="Administrativo"/>
    <s v="Consultoria"/>
    <n v="884.55"/>
    <s v="Transferência"/>
    <s v="Bruno"/>
    <n v="30"/>
    <d v="2026-02-13T00:00:00"/>
    <s v="Em aberto"/>
    <m/>
    <n v="0"/>
    <n v="884.55"/>
    <n v="0"/>
    <x v="0"/>
  </r>
  <r>
    <d v="2026-01-15T00:00:00"/>
    <s v="NF-10108"/>
    <x v="9"/>
    <s v="Administrativo"/>
    <s v="Equipamentos"/>
    <n v="539.08000000000004"/>
    <s v="PIX"/>
    <s v="Diego"/>
    <n v="30"/>
    <d v="2026-02-14T00:00:00"/>
    <s v="Pago"/>
    <d v="2026-02-23T00:00:00"/>
    <n v="539.08000000000004"/>
    <n v="0"/>
    <n v="0"/>
    <x v="0"/>
  </r>
  <r>
    <d v="2026-01-15T00:00:00"/>
    <s v="NF-10003"/>
    <x v="2"/>
    <s v="Administrativo"/>
    <s v="Material de Escritório"/>
    <n v="1868.94"/>
    <s v="PIX"/>
    <s v="Ana"/>
    <n v="30"/>
    <d v="2026-02-14T00:00:00"/>
    <s v="Em atraso"/>
    <m/>
    <n v="0"/>
    <n v="1868.94"/>
    <n v="191"/>
    <x v="0"/>
  </r>
  <r>
    <d v="2026-01-15T00:00:00"/>
    <s v="NF-10467"/>
    <x v="8"/>
    <s v="Comercial"/>
    <s v="Software"/>
    <n v="3415.39"/>
    <s v="Transferência"/>
    <s v="Ana"/>
    <n v="30"/>
    <d v="2026-02-14T00:00:00"/>
    <s v="Pago"/>
    <d v="2026-02-23T00:00:00"/>
    <n v="3415.39"/>
    <n v="0"/>
    <n v="0"/>
    <x v="0"/>
  </r>
  <r>
    <d v="2026-01-15T00:00:00"/>
    <s v="NF-10093"/>
    <x v="4"/>
    <s v="Comercial"/>
    <s v="Material de Escritório"/>
    <n v="2376.63"/>
    <s v="PIX"/>
    <s v="Lucas"/>
    <n v="45"/>
    <d v="2026-03-01T00:00:00"/>
    <s v="Pago"/>
    <d v="2026-03-04T00:00:00"/>
    <n v="2376.63"/>
    <n v="0"/>
    <n v="0"/>
    <x v="0"/>
  </r>
  <r>
    <d v="2026-01-15T00:00:00"/>
    <s v="NF-10039"/>
    <x v="5"/>
    <s v="Operações"/>
    <s v="Consultoria"/>
    <n v="894.67"/>
    <s v="Cartão"/>
    <s v="Camila"/>
    <n v="30"/>
    <d v="2026-02-14T00:00:00"/>
    <s v="Pago"/>
    <d v="2026-02-24T00:00:00"/>
    <n v="894.67"/>
    <n v="0"/>
    <n v="0"/>
    <x v="0"/>
  </r>
  <r>
    <d v="2026-01-15T00:00:00"/>
    <s v="NF-10154"/>
    <x v="0"/>
    <s v="Financeiro"/>
    <s v="Serviços"/>
    <n v="1708.52"/>
    <s v="Boleto"/>
    <s v="Fernanda"/>
    <n v="15"/>
    <d v="2026-01-30T00:00:00"/>
    <s v="Pago"/>
    <d v="2026-02-01T00:00:00"/>
    <n v="1708.52"/>
    <n v="0"/>
    <n v="0"/>
    <x v="0"/>
  </r>
  <r>
    <d v="2026-01-16T00:00:00"/>
    <s v="NF-10520"/>
    <x v="6"/>
    <s v="Financeiro"/>
    <s v="Software"/>
    <n v="1814.15"/>
    <s v="Boleto"/>
    <s v="Lucas"/>
    <n v="15"/>
    <d v="2026-01-31T00:00:00"/>
    <s v="Pago"/>
    <d v="2026-02-06T00:00:00"/>
    <n v="1814.15"/>
    <n v="0"/>
    <n v="0"/>
    <x v="0"/>
  </r>
  <r>
    <d v="2026-01-16T00:00:00"/>
    <s v="NF-10562"/>
    <x v="7"/>
    <s v="Comercial"/>
    <s v="Consultoria"/>
    <n v="813.59"/>
    <s v="PIX"/>
    <s v="Lucas"/>
    <n v="15"/>
    <d v="2026-01-31T00:00:00"/>
    <s v="Pago"/>
    <d v="2026-01-31T00:00:00"/>
    <n v="813.59"/>
    <n v="0"/>
    <n v="0"/>
    <x v="0"/>
  </r>
  <r>
    <d v="2026-01-17T00:00:00"/>
    <s v="NF-10381"/>
    <x v="2"/>
    <s v="Financeiro"/>
    <s v="Equipamentos"/>
    <n v="3173.31"/>
    <s v="PIX"/>
    <s v="Lucas"/>
    <n v="30"/>
    <d v="2026-02-16T00:00:00"/>
    <s v="Em aberto"/>
    <m/>
    <n v="0"/>
    <n v="3173.31"/>
    <n v="0"/>
    <x v="0"/>
  </r>
  <r>
    <d v="2026-01-17T00:00:00"/>
    <s v="NF-10420"/>
    <x v="6"/>
    <s v="Comercial"/>
    <s v="Software"/>
    <n v="1778.77"/>
    <s v="PIX"/>
    <s v="Diego"/>
    <n v="30"/>
    <d v="2026-02-16T00:00:00"/>
    <s v="Pago"/>
    <d v="2026-02-20T00:00:00"/>
    <n v="1778.77"/>
    <n v="0"/>
    <n v="0"/>
    <x v="0"/>
  </r>
  <r>
    <d v="2026-01-18T00:00:00"/>
    <s v="NF-10403"/>
    <x v="5"/>
    <s v="Comercial"/>
    <s v="Consultoria"/>
    <n v="1458.91"/>
    <s v="PIX"/>
    <s v="Ana"/>
    <n v="15"/>
    <d v="2026-02-02T00:00:00"/>
    <s v="Pago"/>
    <d v="2026-02-03T00:00:00"/>
    <n v="1458.91"/>
    <n v="0"/>
    <n v="0"/>
    <x v="0"/>
  </r>
  <r>
    <d v="2026-01-18T00:00:00"/>
    <s v="NF-10054"/>
    <x v="9"/>
    <s v="Administrativo"/>
    <s v="Software"/>
    <n v="2785.38"/>
    <s v="PIX"/>
    <s v="Fernanda"/>
    <n v="30"/>
    <d v="2026-02-17T00:00:00"/>
    <s v="Pago"/>
    <d v="2026-02-28T00:00:00"/>
    <n v="2785.38"/>
    <n v="0"/>
    <n v="0"/>
    <x v="0"/>
  </r>
  <r>
    <d v="2026-01-19T00:00:00"/>
    <s v="NF-10497"/>
    <x v="1"/>
    <s v="Financeiro"/>
    <s v="Consultoria"/>
    <n v="626.69000000000005"/>
    <s v="Boleto"/>
    <s v="Lucas"/>
    <n v="7"/>
    <d v="2026-01-26T00:00:00"/>
    <s v="Em aberto"/>
    <m/>
    <n v="0"/>
    <n v="626.69000000000005"/>
    <n v="0"/>
    <x v="0"/>
  </r>
  <r>
    <d v="2026-01-20T00:00:00"/>
    <s v="NF-10439"/>
    <x v="9"/>
    <s v="Administrativo"/>
    <s v="Serviços"/>
    <n v="1327.13"/>
    <s v="PIX"/>
    <s v="Diego"/>
    <n v="7"/>
    <d v="2026-01-27T00:00:00"/>
    <s v="Pago"/>
    <d v="2026-02-03T00:00:00"/>
    <n v="1327.13"/>
    <n v="0"/>
    <n v="0"/>
    <x v="0"/>
  </r>
  <r>
    <d v="2026-01-21T00:00:00"/>
    <s v="NF-10051"/>
    <x v="6"/>
    <s v="Operações"/>
    <s v="Serviços"/>
    <n v="1561.93"/>
    <s v="Cartão"/>
    <s v="Diego"/>
    <n v="45"/>
    <d v="2026-03-07T00:00:00"/>
    <s v="Em aberto"/>
    <m/>
    <n v="0"/>
    <n v="1561.93"/>
    <n v="0"/>
    <x v="0"/>
  </r>
  <r>
    <d v="2026-01-21T00:00:00"/>
    <s v="NF-10007"/>
    <x v="8"/>
    <s v="Financeiro"/>
    <s v="Equipamentos"/>
    <n v="1059.8399999999999"/>
    <s v="PIX"/>
    <s v="Camila"/>
    <n v="30"/>
    <d v="2026-02-20T00:00:00"/>
    <s v="Pago"/>
    <d v="2026-02-26T00:00:00"/>
    <n v="1059.8399999999999"/>
    <n v="0"/>
    <n v="0"/>
    <x v="0"/>
  </r>
  <r>
    <d v="2026-01-21T00:00:00"/>
    <s v="NF-10367"/>
    <x v="2"/>
    <s v="Financeiro"/>
    <s v="Serviços"/>
    <n v="1896.68"/>
    <s v="Transferência"/>
    <s v="Lucas"/>
    <n v="30"/>
    <d v="2026-02-20T00:00:00"/>
    <s v="Em aberto"/>
    <m/>
    <n v="0"/>
    <n v="1896.68"/>
    <n v="0"/>
    <x v="0"/>
  </r>
  <r>
    <d v="2026-01-21T00:00:00"/>
    <s v="NF-10343"/>
    <x v="3"/>
    <s v="Administrativo"/>
    <s v="Consultoria"/>
    <n v="1449.14"/>
    <s v="PIX"/>
    <s v="Lucas"/>
    <n v="30"/>
    <d v="2026-02-20T00:00:00"/>
    <s v="Em aberto"/>
    <m/>
    <n v="0"/>
    <n v="1449.14"/>
    <n v="0"/>
    <x v="0"/>
  </r>
  <r>
    <d v="2026-01-21T00:00:00"/>
    <s v="NF-10028"/>
    <x v="7"/>
    <s v="Financeiro"/>
    <s v="Consultoria"/>
    <n v="766.44"/>
    <s v="Boleto"/>
    <s v="Fernanda"/>
    <n v="45"/>
    <d v="2026-03-07T00:00:00"/>
    <s v="Em aberto"/>
    <m/>
    <n v="0"/>
    <n v="766.44"/>
    <n v="0"/>
    <x v="0"/>
  </r>
  <r>
    <d v="2026-01-22T00:00:00"/>
    <s v="NF-10358"/>
    <x v="10"/>
    <s v="Administrativo"/>
    <s v="Consultoria"/>
    <n v="3506.48"/>
    <s v="Transferência"/>
    <s v="Lucas"/>
    <n v="45"/>
    <d v="2026-03-08T00:00:00"/>
    <s v="Em aberto"/>
    <m/>
    <n v="0"/>
    <n v="3506.48"/>
    <n v="0"/>
    <x v="0"/>
  </r>
  <r>
    <d v="2026-01-22T00:00:00"/>
    <s v="NF-10525"/>
    <x v="5"/>
    <s v="Comercial"/>
    <s v="Serviços"/>
    <n v="759.66"/>
    <s v="Boleto"/>
    <s v="Lucas"/>
    <n v="15"/>
    <d v="2026-02-06T00:00:00"/>
    <s v="Pago"/>
    <d v="2026-02-07T00:00:00"/>
    <n v="759.66"/>
    <n v="0"/>
    <n v="0"/>
    <x v="0"/>
  </r>
  <r>
    <d v="2026-01-22T00:00:00"/>
    <s v="NF-10032"/>
    <x v="5"/>
    <s v="Comercial"/>
    <s v="Material de Escritório"/>
    <n v="616.74"/>
    <s v="Transferência"/>
    <s v="Bruno"/>
    <n v="30"/>
    <d v="2026-02-21T00:00:00"/>
    <s v="Pago"/>
    <d v="2026-03-04T00:00:00"/>
    <n v="616.74"/>
    <n v="0"/>
    <n v="0"/>
    <x v="0"/>
  </r>
  <r>
    <d v="2026-01-23T00:00:00"/>
    <s v="NF-10549"/>
    <x v="7"/>
    <s v="Financeiro"/>
    <s v="Consultoria"/>
    <n v="2926.93"/>
    <s v="Cartão"/>
    <s v="Bruno"/>
    <n v="30"/>
    <d v="2026-02-22T00:00:00"/>
    <s v="Em atraso"/>
    <m/>
    <n v="0"/>
    <n v="2926.93"/>
    <n v="183"/>
    <x v="0"/>
  </r>
  <r>
    <d v="2026-01-23T00:00:00"/>
    <s v="NF-10504"/>
    <x v="6"/>
    <s v="Financeiro"/>
    <s v="Equipamentos"/>
    <n v="805.55"/>
    <s v="PIX"/>
    <s v="Camila"/>
    <n v="30"/>
    <d v="2026-02-22T00:00:00"/>
    <s v="Em aberto"/>
    <m/>
    <n v="0"/>
    <n v="805.55"/>
    <n v="0"/>
    <x v="0"/>
  </r>
  <r>
    <d v="2026-01-24T00:00:00"/>
    <s v="NF-10390"/>
    <x v="6"/>
    <s v="Operações"/>
    <s v="Serviços"/>
    <n v="1926"/>
    <s v="Cartão"/>
    <s v="Diego"/>
    <n v="45"/>
    <d v="2026-03-10T00:00:00"/>
    <s v="Em aberto"/>
    <m/>
    <n v="0"/>
    <n v="1926"/>
    <n v="0"/>
    <x v="0"/>
  </r>
  <r>
    <d v="2026-01-24T00:00:00"/>
    <s v="NF-10563"/>
    <x v="2"/>
    <s v="Administrativo"/>
    <s v="Consultoria"/>
    <n v="683.92"/>
    <s v="Transferência"/>
    <s v="Diego"/>
    <n v="30"/>
    <d v="2026-02-23T00:00:00"/>
    <s v="Pago"/>
    <d v="2026-03-02T00:00:00"/>
    <n v="683.92"/>
    <n v="0"/>
    <n v="0"/>
    <x v="0"/>
  </r>
  <r>
    <d v="2026-01-24T00:00:00"/>
    <s v="NF-10102"/>
    <x v="10"/>
    <s v="Operações"/>
    <s v="Software"/>
    <n v="2136.0100000000002"/>
    <s v="Cartão"/>
    <s v="Lucas"/>
    <n v="7"/>
    <d v="2026-01-31T00:00:00"/>
    <s v="Pago"/>
    <d v="2026-02-04T00:00:00"/>
    <n v="2136.0100000000002"/>
    <n v="0"/>
    <n v="0"/>
    <x v="0"/>
  </r>
  <r>
    <d v="2026-01-24T00:00:00"/>
    <s v="NF-10252"/>
    <x v="7"/>
    <s v="Financeiro"/>
    <s v="Serviços"/>
    <n v="1770.58"/>
    <s v="PIX"/>
    <s v="Fernanda"/>
    <n v="7"/>
    <d v="2026-01-31T00:00:00"/>
    <s v="Pago"/>
    <d v="2026-02-03T00:00:00"/>
    <n v="1770.58"/>
    <n v="0"/>
    <n v="0"/>
    <x v="0"/>
  </r>
  <r>
    <d v="2026-01-24T00:00:00"/>
    <s v="NF-10410"/>
    <x v="0"/>
    <s v="Financeiro"/>
    <s v="Consultoria"/>
    <n v="1272.99"/>
    <s v="Boleto"/>
    <s v="Bruno"/>
    <n v="30"/>
    <d v="2026-02-23T00:00:00"/>
    <s v="Pago"/>
    <d v="2026-03-05T00:00:00"/>
    <n v="1272.99"/>
    <n v="0"/>
    <n v="0"/>
    <x v="0"/>
  </r>
  <r>
    <d v="2026-01-25T00:00:00"/>
    <s v="NF-10404"/>
    <x v="9"/>
    <s v="Comercial"/>
    <s v="Software"/>
    <n v="535.77"/>
    <s v="Boleto"/>
    <s v="Bruno"/>
    <n v="30"/>
    <d v="2026-02-24T00:00:00"/>
    <s v="Pago"/>
    <d v="2026-03-03T00:00:00"/>
    <n v="535.77"/>
    <n v="0"/>
    <n v="0"/>
    <x v="0"/>
  </r>
  <r>
    <d v="2026-01-26T00:00:00"/>
    <s v="NF-10428"/>
    <x v="4"/>
    <s v="Comercial"/>
    <s v="Serviços"/>
    <n v="424.65"/>
    <s v="Cartão"/>
    <s v="Camila"/>
    <n v="7"/>
    <d v="2026-02-02T00:00:00"/>
    <s v="Pago"/>
    <d v="2026-02-07T00:00:00"/>
    <n v="424.65"/>
    <n v="0"/>
    <n v="0"/>
    <x v="0"/>
  </r>
  <r>
    <d v="2026-01-27T00:00:00"/>
    <s v="NF-10366"/>
    <x v="5"/>
    <s v="Operações"/>
    <s v="Software"/>
    <n v="2268.69"/>
    <s v="Transferência"/>
    <s v="Diego"/>
    <n v="30"/>
    <d v="2026-02-26T00:00:00"/>
    <s v="Em atraso"/>
    <m/>
    <n v="0"/>
    <n v="2268.69"/>
    <n v="179"/>
    <x v="0"/>
  </r>
  <r>
    <d v="2026-01-27T00:00:00"/>
    <s v="NF-10151"/>
    <x v="2"/>
    <s v="Administrativo"/>
    <s v="Material de Escritório"/>
    <n v="3862.46"/>
    <s v="Boleto"/>
    <s v="Diego"/>
    <n v="7"/>
    <d v="2026-02-03T00:00:00"/>
    <s v="Pago"/>
    <d v="2026-02-04T00:00:00"/>
    <n v="3862.46"/>
    <n v="0"/>
    <n v="0"/>
    <x v="0"/>
  </r>
  <r>
    <d v="2026-01-27T00:00:00"/>
    <s v="NF-10195"/>
    <x v="2"/>
    <s v="Operações"/>
    <s v="Software"/>
    <n v="757.35"/>
    <s v="Transferência"/>
    <s v="Fernanda"/>
    <n v="45"/>
    <d v="2026-03-13T00:00:00"/>
    <s v="Em aberto"/>
    <m/>
    <n v="0"/>
    <n v="757.35"/>
    <n v="0"/>
    <x v="0"/>
  </r>
  <r>
    <d v="2026-01-27T00:00:00"/>
    <s v="NF-10365"/>
    <x v="7"/>
    <s v="Administrativo"/>
    <s v="Equipamentos"/>
    <n v="708.87"/>
    <s v="PIX"/>
    <s v="Bruno"/>
    <n v="30"/>
    <d v="2026-02-26T00:00:00"/>
    <s v="Em aberto"/>
    <m/>
    <n v="0"/>
    <n v="708.87"/>
    <n v="0"/>
    <x v="0"/>
  </r>
  <r>
    <d v="2026-01-28T00:00:00"/>
    <s v="NF-10175"/>
    <x v="1"/>
    <s v="Financeiro"/>
    <s v="Equipamentos"/>
    <n v="1308"/>
    <s v="Cartão"/>
    <s v="Ana"/>
    <n v="15"/>
    <d v="2026-02-12T00:00:00"/>
    <s v="Em atraso"/>
    <m/>
    <n v="0"/>
    <n v="1308"/>
    <n v="193"/>
    <x v="0"/>
  </r>
  <r>
    <d v="2026-01-28T00:00:00"/>
    <s v="NF-10182"/>
    <x v="1"/>
    <s v="Financeiro"/>
    <s v="Equipamentos"/>
    <n v="3746.91"/>
    <s v="Boleto"/>
    <s v="Bruno"/>
    <n v="30"/>
    <d v="2026-02-27T00:00:00"/>
    <s v="Em aberto"/>
    <m/>
    <n v="0"/>
    <n v="3746.91"/>
    <n v="0"/>
    <x v="0"/>
  </r>
  <r>
    <d v="2026-01-28T00:00:00"/>
    <s v="NF-10183"/>
    <x v="1"/>
    <s v="Administrativo"/>
    <s v="Consultoria"/>
    <n v="1714.56"/>
    <s v="Boleto"/>
    <s v="Lucas"/>
    <n v="7"/>
    <d v="2026-02-04T00:00:00"/>
    <s v="Em aberto"/>
    <m/>
    <n v="0"/>
    <n v="1714.56"/>
    <n v="0"/>
    <x v="0"/>
  </r>
  <r>
    <d v="2026-01-28T00:00:00"/>
    <s v="NF-10370"/>
    <x v="10"/>
    <s v="Operações"/>
    <s v="Equipamentos"/>
    <n v="1962.85"/>
    <s v="PIX"/>
    <s v="Diego"/>
    <n v="30"/>
    <d v="2026-02-27T00:00:00"/>
    <s v="Pago"/>
    <d v="2026-03-03T00:00:00"/>
    <n v="1962.85"/>
    <n v="0"/>
    <n v="0"/>
    <x v="0"/>
  </r>
  <r>
    <d v="2026-01-28T00:00:00"/>
    <s v="NF-10127"/>
    <x v="6"/>
    <s v="Operações"/>
    <s v="Serviços"/>
    <n v="1146.49"/>
    <s v="Boleto"/>
    <s v="Bruno"/>
    <n v="7"/>
    <d v="2026-02-04T00:00:00"/>
    <s v="Pago"/>
    <d v="2026-02-15T00:00:00"/>
    <n v="1146.49"/>
    <n v="0"/>
    <n v="0"/>
    <x v="0"/>
  </r>
  <r>
    <d v="2026-01-29T00:00:00"/>
    <s v="NF-10588"/>
    <x v="0"/>
    <s v="Administrativo"/>
    <s v="Software"/>
    <n v="1982.54"/>
    <s v="Transferência"/>
    <s v="Bruno"/>
    <n v="15"/>
    <d v="2026-02-13T00:00:00"/>
    <s v="Em atraso"/>
    <m/>
    <n v="0"/>
    <n v="1982.54"/>
    <n v="192"/>
    <x v="0"/>
  </r>
  <r>
    <d v="2026-01-29T00:00:00"/>
    <s v="NF-10168"/>
    <x v="10"/>
    <s v="Administrativo"/>
    <s v="Material de Escritório"/>
    <n v="3870.83"/>
    <s v="Transferência"/>
    <s v="Bruno"/>
    <n v="30"/>
    <d v="2026-02-28T00:00:00"/>
    <s v="Pago"/>
    <d v="2026-03-02T00:00:00"/>
    <n v="3870.83"/>
    <n v="0"/>
    <n v="0"/>
    <x v="0"/>
  </r>
  <r>
    <d v="2026-01-29T00:00:00"/>
    <s v="NF-10534"/>
    <x v="2"/>
    <s v="Financeiro"/>
    <s v="Software"/>
    <n v="984.62"/>
    <s v="Transferência"/>
    <s v="Camila"/>
    <n v="30"/>
    <d v="2026-02-28T00:00:00"/>
    <s v="Pago"/>
    <d v="2026-03-02T00:00:00"/>
    <n v="984.62"/>
    <n v="0"/>
    <n v="0"/>
    <x v="0"/>
  </r>
  <r>
    <d v="2026-01-30T00:00:00"/>
    <s v="NF-10368"/>
    <x v="9"/>
    <s v="Financeiro"/>
    <s v="Software"/>
    <n v="2280.41"/>
    <s v="Transferência"/>
    <s v="Bruno"/>
    <n v="15"/>
    <d v="2026-02-14T00:00:00"/>
    <s v="Pago"/>
    <d v="2026-02-15T00:00:00"/>
    <n v="2280.41"/>
    <n v="0"/>
    <n v="0"/>
    <x v="0"/>
  </r>
  <r>
    <d v="2026-01-30T00:00:00"/>
    <s v="NF-10187"/>
    <x v="4"/>
    <s v="Comercial"/>
    <s v="Equipamentos"/>
    <n v="851.49"/>
    <s v="PIX"/>
    <s v="Ana"/>
    <n v="30"/>
    <d v="2026-03-01T00:00:00"/>
    <s v="Em atraso"/>
    <m/>
    <n v="0"/>
    <n v="851.49"/>
    <n v="176"/>
    <x v="0"/>
  </r>
  <r>
    <d v="2026-02-01T00:00:00"/>
    <s v="NF-10412"/>
    <x v="10"/>
    <s v="Comercial"/>
    <s v="Consultoria"/>
    <n v="3321.27"/>
    <s v="Cartão"/>
    <s v="Diego"/>
    <n v="15"/>
    <d v="2026-02-16T00:00:00"/>
    <s v="Pago"/>
    <d v="2026-02-27T00:00:00"/>
    <n v="3321.27"/>
    <n v="0"/>
    <n v="0"/>
    <x v="1"/>
  </r>
  <r>
    <d v="2026-02-01T00:00:00"/>
    <s v="NF-10450"/>
    <x v="7"/>
    <s v="Operações"/>
    <s v="Material de Escritório"/>
    <n v="1906.14"/>
    <s v="Boleto"/>
    <s v="Lucas"/>
    <n v="45"/>
    <d v="2026-03-18T00:00:00"/>
    <s v="Em aberto"/>
    <m/>
    <n v="0"/>
    <n v="1906.14"/>
    <n v="0"/>
    <x v="1"/>
  </r>
  <r>
    <d v="2026-02-02T00:00:00"/>
    <s v="NF-10352"/>
    <x v="8"/>
    <s v="Financeiro"/>
    <s v="Software"/>
    <n v="1459.56"/>
    <s v="PIX"/>
    <s v="Diego"/>
    <n v="7"/>
    <d v="2026-02-09T00:00:00"/>
    <s v="Pago"/>
    <d v="2026-02-09T00:00:00"/>
    <n v="1459.56"/>
    <n v="0"/>
    <n v="0"/>
    <x v="1"/>
  </r>
  <r>
    <d v="2026-02-02T00:00:00"/>
    <s v="NF-10123"/>
    <x v="8"/>
    <s v="Comercial"/>
    <s v="Consultoria"/>
    <n v="853.86"/>
    <s v="Transferência"/>
    <s v="Fernanda"/>
    <n v="15"/>
    <d v="2026-02-17T00:00:00"/>
    <s v="Pago"/>
    <d v="2026-02-24T00:00:00"/>
    <n v="853.86"/>
    <n v="0"/>
    <n v="0"/>
    <x v="1"/>
  </r>
  <r>
    <d v="2026-02-02T00:00:00"/>
    <s v="NF-10341"/>
    <x v="8"/>
    <s v="Operações"/>
    <s v="Material de Escritório"/>
    <n v="848.15"/>
    <s v="Cartão"/>
    <s v="Fernanda"/>
    <n v="15"/>
    <d v="2026-02-17T00:00:00"/>
    <s v="Pago"/>
    <d v="2026-02-18T00:00:00"/>
    <n v="848.15"/>
    <n v="0"/>
    <n v="0"/>
    <x v="1"/>
  </r>
  <r>
    <d v="2026-02-02T00:00:00"/>
    <s v="NF-10133"/>
    <x v="1"/>
    <s v="Financeiro"/>
    <s v="Consultoria"/>
    <n v="657.24"/>
    <s v="Cartão"/>
    <s v="Diego"/>
    <n v="7"/>
    <d v="2026-02-09T00:00:00"/>
    <s v="Pago"/>
    <d v="2026-02-15T00:00:00"/>
    <n v="657.24"/>
    <n v="0"/>
    <n v="0"/>
    <x v="1"/>
  </r>
  <r>
    <d v="2026-02-02T00:00:00"/>
    <s v="NF-10574"/>
    <x v="5"/>
    <s v="Financeiro"/>
    <s v="Software"/>
    <n v="2380.9299999999998"/>
    <s v="Boleto"/>
    <s v="Bruno"/>
    <n v="15"/>
    <d v="2026-02-17T00:00:00"/>
    <s v="Pago"/>
    <d v="2026-02-26T00:00:00"/>
    <n v="2380.9299999999998"/>
    <n v="0"/>
    <n v="0"/>
    <x v="1"/>
  </r>
  <r>
    <d v="2026-02-02T00:00:00"/>
    <s v="NF-10547"/>
    <x v="7"/>
    <s v="Financeiro"/>
    <s v="Equipamentos"/>
    <n v="1072.53"/>
    <s v="Boleto"/>
    <s v="Lucas"/>
    <n v="30"/>
    <d v="2026-03-04T00:00:00"/>
    <s v="Pago"/>
    <d v="2026-03-07T00:00:00"/>
    <n v="1072.53"/>
    <n v="0"/>
    <n v="0"/>
    <x v="1"/>
  </r>
  <r>
    <d v="2026-02-03T00:00:00"/>
    <s v="NF-10553"/>
    <x v="11"/>
    <s v="Operações"/>
    <s v="Software"/>
    <n v="1957.32"/>
    <s v="PIX"/>
    <s v="Fernanda"/>
    <n v="30"/>
    <d v="2026-03-05T00:00:00"/>
    <s v="Em aberto"/>
    <m/>
    <n v="0"/>
    <n v="1957.32"/>
    <n v="0"/>
    <x v="1"/>
  </r>
  <r>
    <d v="2026-02-03T00:00:00"/>
    <s v="NF-10512"/>
    <x v="5"/>
    <s v="Administrativo"/>
    <s v="Consultoria"/>
    <n v="950.15"/>
    <s v="Boleto"/>
    <s v="Diego"/>
    <n v="15"/>
    <d v="2026-02-18T00:00:00"/>
    <s v="Pago"/>
    <d v="2026-02-24T00:00:00"/>
    <n v="950.15"/>
    <n v="0"/>
    <n v="0"/>
    <x v="1"/>
  </r>
  <r>
    <d v="2026-02-04T00:00:00"/>
    <s v="NF-10378"/>
    <x v="7"/>
    <s v="Comercial"/>
    <s v="Serviços"/>
    <n v="951.38"/>
    <s v="Boleto"/>
    <s v="Diego"/>
    <n v="45"/>
    <d v="2026-03-21T00:00:00"/>
    <s v="Pago"/>
    <d v="2026-03-25T00:00:00"/>
    <n v="951.38"/>
    <n v="0"/>
    <n v="0"/>
    <x v="1"/>
  </r>
  <r>
    <d v="2026-02-04T00:00:00"/>
    <s v="NF-10071"/>
    <x v="8"/>
    <s v="Financeiro"/>
    <s v="Equipamentos"/>
    <n v="1411.93"/>
    <s v="PIX"/>
    <s v="Camila"/>
    <n v="30"/>
    <d v="2026-03-06T00:00:00"/>
    <s v="Em aberto"/>
    <m/>
    <n v="0"/>
    <n v="1411.93"/>
    <n v="0"/>
    <x v="1"/>
  </r>
  <r>
    <d v="2026-02-04T00:00:00"/>
    <s v="NF-10141"/>
    <x v="8"/>
    <s v="Administrativo"/>
    <s v="Material de Escritório"/>
    <n v="2446.39"/>
    <s v="Boleto"/>
    <s v="Diego"/>
    <n v="30"/>
    <d v="2026-03-06T00:00:00"/>
    <s v="Pago"/>
    <d v="2026-03-15T00:00:00"/>
    <n v="2446.39"/>
    <n v="0"/>
    <n v="0"/>
    <x v="1"/>
  </r>
  <r>
    <d v="2026-02-04T00:00:00"/>
    <s v="NF-10594"/>
    <x v="10"/>
    <s v="Financeiro"/>
    <s v="Material de Escritório"/>
    <n v="774.67"/>
    <s v="PIX"/>
    <s v="Camila"/>
    <n v="15"/>
    <d v="2026-02-19T00:00:00"/>
    <s v="Em aberto"/>
    <m/>
    <n v="0"/>
    <n v="774.67"/>
    <n v="0"/>
    <x v="1"/>
  </r>
  <r>
    <d v="2026-02-05T00:00:00"/>
    <s v="NF-10169"/>
    <x v="1"/>
    <s v="Administrativo"/>
    <s v="Software"/>
    <n v="1130.49"/>
    <s v="Boleto"/>
    <s v="Lucas"/>
    <n v="30"/>
    <d v="2026-03-07T00:00:00"/>
    <s v="Pago"/>
    <d v="2026-03-14T00:00:00"/>
    <n v="1130.49"/>
    <n v="0"/>
    <n v="0"/>
    <x v="1"/>
  </r>
  <r>
    <d v="2026-02-05T00:00:00"/>
    <s v="NF-10437"/>
    <x v="10"/>
    <s v="Comercial"/>
    <s v="Serviços"/>
    <n v="302.97000000000003"/>
    <s v="PIX"/>
    <s v="Fernanda"/>
    <n v="30"/>
    <d v="2026-03-07T00:00:00"/>
    <s v="Em aberto"/>
    <m/>
    <n v="0"/>
    <n v="302.97000000000003"/>
    <n v="0"/>
    <x v="1"/>
  </r>
  <r>
    <d v="2026-02-06T00:00:00"/>
    <s v="NF-10389"/>
    <x v="2"/>
    <s v="Comercial"/>
    <s v="Equipamentos"/>
    <n v="4009.07"/>
    <s v="Transferência"/>
    <s v="Camila"/>
    <n v="30"/>
    <d v="2026-03-08T00:00:00"/>
    <s v="Pago"/>
    <d v="2026-03-17T00:00:00"/>
    <n v="4009.07"/>
    <n v="0"/>
    <n v="0"/>
    <x v="1"/>
  </r>
  <r>
    <d v="2026-02-06T00:00:00"/>
    <s v="NF-10137"/>
    <x v="5"/>
    <s v="Comercial"/>
    <s v="Equipamentos"/>
    <n v="750.52"/>
    <s v="PIX"/>
    <s v="Camila"/>
    <n v="30"/>
    <d v="2026-03-08T00:00:00"/>
    <s v="Em aberto"/>
    <m/>
    <n v="0"/>
    <n v="750.52"/>
    <n v="0"/>
    <x v="1"/>
  </r>
  <r>
    <d v="2026-02-06T00:00:00"/>
    <s v="NF-10303"/>
    <x v="7"/>
    <s v="Administrativo"/>
    <s v="Software"/>
    <n v="2245.75"/>
    <s v="Boleto"/>
    <s v="Fernanda"/>
    <n v="15"/>
    <d v="2026-02-21T00:00:00"/>
    <s v="Pago"/>
    <d v="2026-02-27T00:00:00"/>
    <n v="2245.75"/>
    <n v="0"/>
    <n v="0"/>
    <x v="1"/>
  </r>
  <r>
    <d v="2026-02-07T00:00:00"/>
    <s v="NF-10251"/>
    <x v="5"/>
    <s v="Financeiro"/>
    <s v="Software"/>
    <n v="1870.15"/>
    <s v="Transferência"/>
    <s v="Camila"/>
    <n v="15"/>
    <d v="2026-02-22T00:00:00"/>
    <s v="Em atraso"/>
    <m/>
    <n v="0"/>
    <n v="1870.15"/>
    <n v="183"/>
    <x v="1"/>
  </r>
  <r>
    <d v="2026-02-07T00:00:00"/>
    <s v="NF-10360"/>
    <x v="4"/>
    <s v="Comercial"/>
    <s v="Equipamentos"/>
    <n v="1674.88"/>
    <s v="Cartão"/>
    <s v="Fernanda"/>
    <n v="15"/>
    <d v="2026-02-22T00:00:00"/>
    <s v="Pago"/>
    <d v="2026-02-25T00:00:00"/>
    <n v="1674.88"/>
    <n v="0"/>
    <n v="0"/>
    <x v="1"/>
  </r>
  <r>
    <d v="2026-02-07T00:00:00"/>
    <s v="NF-10024"/>
    <x v="9"/>
    <s v="Operações"/>
    <s v="Serviços"/>
    <n v="711.28"/>
    <s v="Cartão"/>
    <s v="Fernanda"/>
    <n v="30"/>
    <d v="2026-03-09T00:00:00"/>
    <s v="Pago"/>
    <d v="2026-03-09T00:00:00"/>
    <n v="711.28"/>
    <n v="0"/>
    <n v="0"/>
    <x v="1"/>
  </r>
  <r>
    <d v="2026-02-08T00:00:00"/>
    <s v="NF-10281"/>
    <x v="1"/>
    <s v="Comercial"/>
    <s v="Material de Escritório"/>
    <n v="2380.5500000000002"/>
    <s v="Cartão"/>
    <s v="Camila"/>
    <n v="30"/>
    <d v="2026-03-10T00:00:00"/>
    <s v="Pago"/>
    <d v="2026-03-16T00:00:00"/>
    <n v="2380.5500000000002"/>
    <n v="0"/>
    <n v="0"/>
    <x v="1"/>
  </r>
  <r>
    <d v="2026-02-08T00:00:00"/>
    <s v="NF-10426"/>
    <x v="4"/>
    <s v="Financeiro"/>
    <s v="Consultoria"/>
    <n v="1363.99"/>
    <s v="PIX"/>
    <s v="Ana"/>
    <n v="15"/>
    <d v="2026-02-23T00:00:00"/>
    <s v="Em aberto"/>
    <m/>
    <n v="0"/>
    <n v="1363.99"/>
    <n v="0"/>
    <x v="1"/>
  </r>
  <r>
    <d v="2026-02-08T00:00:00"/>
    <s v="NF-10545"/>
    <x v="0"/>
    <s v="Financeiro"/>
    <s v="Consultoria"/>
    <n v="851.05"/>
    <s v="Transferência"/>
    <s v="Ana"/>
    <n v="45"/>
    <d v="2026-03-25T00:00:00"/>
    <s v="Pago"/>
    <d v="2026-03-31T00:00:00"/>
    <n v="851.05"/>
    <n v="0"/>
    <n v="0"/>
    <x v="1"/>
  </r>
  <r>
    <d v="2026-02-08T00:00:00"/>
    <s v="NF-10222"/>
    <x v="5"/>
    <s v="Operações"/>
    <s v="Material de Escritório"/>
    <n v="735.36"/>
    <s v="PIX"/>
    <s v="Fernanda"/>
    <n v="30"/>
    <d v="2026-03-10T00:00:00"/>
    <s v="Pago"/>
    <d v="2026-03-11T00:00:00"/>
    <n v="735.36"/>
    <n v="0"/>
    <n v="0"/>
    <x v="1"/>
  </r>
  <r>
    <d v="2026-02-09T00:00:00"/>
    <s v="NF-10097"/>
    <x v="3"/>
    <s v="Comercial"/>
    <s v="Serviços"/>
    <n v="5860.92"/>
    <s v="PIX"/>
    <s v="Bruno"/>
    <n v="15"/>
    <d v="2026-02-24T00:00:00"/>
    <s v="Pago"/>
    <d v="2026-02-28T00:00:00"/>
    <n v="5860.92"/>
    <n v="0"/>
    <n v="0"/>
    <x v="1"/>
  </r>
  <r>
    <d v="2026-02-10T00:00:00"/>
    <s v="NF-10126"/>
    <x v="7"/>
    <s v="Financeiro"/>
    <s v="Software"/>
    <n v="2847.35"/>
    <s v="PIX"/>
    <s v="Ana"/>
    <n v="30"/>
    <d v="2026-03-12T00:00:00"/>
    <s v="Em aberto"/>
    <m/>
    <n v="0"/>
    <n v="2847.35"/>
    <n v="0"/>
    <x v="1"/>
  </r>
  <r>
    <d v="2026-02-10T00:00:00"/>
    <s v="NF-10106"/>
    <x v="6"/>
    <s v="Comercial"/>
    <s v="Material de Escritório"/>
    <n v="916.7"/>
    <s v="Transferência"/>
    <s v="Diego"/>
    <n v="30"/>
    <d v="2026-03-12T00:00:00"/>
    <s v="Pago"/>
    <d v="2026-03-18T00:00:00"/>
    <n v="916.7"/>
    <n v="0"/>
    <n v="0"/>
    <x v="1"/>
  </r>
  <r>
    <d v="2026-02-11T00:00:00"/>
    <s v="NF-10156"/>
    <x v="5"/>
    <s v="Comercial"/>
    <s v="Equipamentos"/>
    <n v="972.84"/>
    <s v="Boleto"/>
    <s v="Lucas"/>
    <n v="15"/>
    <d v="2026-02-26T00:00:00"/>
    <s v="Pago"/>
    <d v="2026-03-09T00:00:00"/>
    <n v="972.84"/>
    <n v="0"/>
    <n v="0"/>
    <x v="1"/>
  </r>
  <r>
    <d v="2026-02-11T00:00:00"/>
    <s v="NF-10290"/>
    <x v="9"/>
    <s v="Comercial"/>
    <s v="Consultoria"/>
    <n v="1239.03"/>
    <s v="PIX"/>
    <s v="Fernanda"/>
    <n v="15"/>
    <d v="2026-02-26T00:00:00"/>
    <s v="Pago"/>
    <d v="2026-03-04T00:00:00"/>
    <n v="1239.03"/>
    <n v="0"/>
    <n v="0"/>
    <x v="1"/>
  </r>
  <r>
    <d v="2026-02-12T00:00:00"/>
    <s v="NF-10424"/>
    <x v="8"/>
    <s v="Administrativo"/>
    <s v="Consultoria"/>
    <n v="3585"/>
    <s v="Cartão"/>
    <s v="Fernanda"/>
    <n v="30"/>
    <d v="2026-03-14T00:00:00"/>
    <s v="Em atraso"/>
    <m/>
    <n v="0"/>
    <n v="3585"/>
    <n v="163"/>
    <x v="1"/>
  </r>
  <r>
    <d v="2026-02-12T00:00:00"/>
    <s v="NF-10586"/>
    <x v="9"/>
    <s v="Comercial"/>
    <s v="Consultoria"/>
    <n v="1245.0999999999999"/>
    <s v="Boleto"/>
    <s v="Lucas"/>
    <n v="30"/>
    <d v="2026-03-14T00:00:00"/>
    <s v="Pago"/>
    <d v="2026-03-21T00:00:00"/>
    <n v="1245.0999999999999"/>
    <n v="0"/>
    <n v="0"/>
    <x v="1"/>
  </r>
  <r>
    <d v="2026-02-13T00:00:00"/>
    <s v="NF-10086"/>
    <x v="5"/>
    <s v="Comercial"/>
    <s v="Software"/>
    <n v="299.57"/>
    <s v="PIX"/>
    <s v="Ana"/>
    <n v="7"/>
    <d v="2026-02-20T00:00:00"/>
    <s v="Pago"/>
    <d v="2026-02-28T00:00:00"/>
    <n v="299.57"/>
    <n v="0"/>
    <n v="0"/>
    <x v="1"/>
  </r>
  <r>
    <d v="2026-02-13T00:00:00"/>
    <s v="NF-10587"/>
    <x v="10"/>
    <s v="Administrativo"/>
    <s v="Consultoria"/>
    <n v="2032.08"/>
    <s v="Cartão"/>
    <s v="Fernanda"/>
    <n v="45"/>
    <d v="2026-03-30T00:00:00"/>
    <s v="Pago"/>
    <d v="2026-03-31T00:00:00"/>
    <n v="2032.08"/>
    <n v="0"/>
    <n v="0"/>
    <x v="1"/>
  </r>
  <r>
    <d v="2026-02-13T00:00:00"/>
    <s v="NF-10185"/>
    <x v="6"/>
    <s v="Operações"/>
    <s v="Material de Escritório"/>
    <n v="4975.7299999999996"/>
    <s v="PIX"/>
    <s v="Lucas"/>
    <n v="30"/>
    <d v="2026-03-15T00:00:00"/>
    <s v="Pago"/>
    <d v="2026-03-15T00:00:00"/>
    <n v="4975.7299999999996"/>
    <n v="0"/>
    <n v="0"/>
    <x v="1"/>
  </r>
  <r>
    <d v="2026-02-14T00:00:00"/>
    <s v="NF-10178"/>
    <x v="7"/>
    <s v="Administrativo"/>
    <s v="Equipamentos"/>
    <n v="2246.29"/>
    <s v="Transferência"/>
    <s v="Bruno"/>
    <n v="45"/>
    <d v="2026-03-31T00:00:00"/>
    <s v="Pago"/>
    <d v="2026-04-07T00:00:00"/>
    <n v="2246.29"/>
    <n v="0"/>
    <n v="0"/>
    <x v="1"/>
  </r>
  <r>
    <d v="2026-02-14T00:00:00"/>
    <s v="NF-10109"/>
    <x v="10"/>
    <s v="Financeiro"/>
    <s v="Consultoria"/>
    <n v="216.15"/>
    <s v="PIX"/>
    <s v="Diego"/>
    <n v="30"/>
    <d v="2026-03-16T00:00:00"/>
    <s v="Pago"/>
    <d v="2026-03-16T00:00:00"/>
    <n v="216.15"/>
    <n v="0"/>
    <n v="0"/>
    <x v="1"/>
  </r>
  <r>
    <d v="2026-02-15T00:00:00"/>
    <s v="NF-10392"/>
    <x v="3"/>
    <s v="Financeiro"/>
    <s v="Serviços"/>
    <n v="272.04000000000002"/>
    <s v="PIX"/>
    <s v="Bruno"/>
    <n v="45"/>
    <d v="2026-04-01T00:00:00"/>
    <s v="Pago"/>
    <d v="2026-04-06T00:00:00"/>
    <n v="272.04000000000002"/>
    <n v="0"/>
    <n v="0"/>
    <x v="1"/>
  </r>
  <r>
    <d v="2026-02-15T00:00:00"/>
    <s v="NF-10384"/>
    <x v="1"/>
    <s v="Operações"/>
    <s v="Software"/>
    <n v="638.1"/>
    <s v="PIX"/>
    <s v="Camila"/>
    <n v="30"/>
    <d v="2026-03-17T00:00:00"/>
    <s v="Em aberto"/>
    <m/>
    <n v="0"/>
    <n v="638.1"/>
    <n v="0"/>
    <x v="1"/>
  </r>
  <r>
    <d v="2026-02-15T00:00:00"/>
    <s v="NF-10592"/>
    <x v="8"/>
    <s v="Financeiro"/>
    <s v="Material de Escritório"/>
    <n v="1409.41"/>
    <s v="PIX"/>
    <s v="Bruno"/>
    <n v="15"/>
    <d v="2026-03-02T00:00:00"/>
    <s v="Em atraso"/>
    <m/>
    <n v="0"/>
    <n v="1409.41"/>
    <n v="175"/>
    <x v="1"/>
  </r>
  <r>
    <d v="2026-02-16T00:00:00"/>
    <s v="NF-10537"/>
    <x v="3"/>
    <s v="Financeiro"/>
    <s v="Consultoria"/>
    <n v="1278.6500000000001"/>
    <s v="Cartão"/>
    <s v="Camila"/>
    <n v="15"/>
    <d v="2026-03-03T00:00:00"/>
    <s v="Pago"/>
    <d v="2026-03-04T00:00:00"/>
    <n v="1278.6500000000001"/>
    <n v="0"/>
    <n v="0"/>
    <x v="1"/>
  </r>
  <r>
    <d v="2026-02-16T00:00:00"/>
    <s v="NF-10482"/>
    <x v="8"/>
    <s v="Financeiro"/>
    <s v="Serviços"/>
    <n v="1542.55"/>
    <s v="PIX"/>
    <s v="Fernanda"/>
    <n v="15"/>
    <d v="2026-03-03T00:00:00"/>
    <s v="Em aberto"/>
    <m/>
    <n v="0"/>
    <n v="1542.55"/>
    <n v="0"/>
    <x v="1"/>
  </r>
  <r>
    <d v="2026-02-17T00:00:00"/>
    <s v="NF-10134"/>
    <x v="5"/>
    <s v="Comercial"/>
    <s v="Material de Escritório"/>
    <n v="1200.25"/>
    <s v="Transferência"/>
    <s v="Ana"/>
    <n v="30"/>
    <d v="2026-03-19T00:00:00"/>
    <s v="Pago"/>
    <d v="2026-03-21T00:00:00"/>
    <n v="1200.25"/>
    <n v="0"/>
    <n v="0"/>
    <x v="1"/>
  </r>
  <r>
    <d v="2026-02-17T00:00:00"/>
    <s v="NF-10092"/>
    <x v="0"/>
    <s v="Financeiro"/>
    <s v="Serviços"/>
    <n v="2213.91"/>
    <s v="Boleto"/>
    <s v="Fernanda"/>
    <n v="45"/>
    <d v="2026-04-03T00:00:00"/>
    <s v="Em aberto"/>
    <m/>
    <n v="0"/>
    <n v="2213.91"/>
    <n v="0"/>
    <x v="1"/>
  </r>
  <r>
    <d v="2026-02-17T00:00:00"/>
    <s v="NF-10375"/>
    <x v="0"/>
    <s v="Comercial"/>
    <s v="Serviços"/>
    <n v="1442.38"/>
    <s v="PIX"/>
    <s v="Bruno"/>
    <n v="45"/>
    <d v="2026-04-03T00:00:00"/>
    <s v="Em aberto"/>
    <m/>
    <n v="0"/>
    <n v="1442.38"/>
    <n v="0"/>
    <x v="1"/>
  </r>
  <r>
    <d v="2026-02-17T00:00:00"/>
    <s v="NF-10308"/>
    <x v="9"/>
    <s v="Financeiro"/>
    <s v="Serviços"/>
    <n v="603.74"/>
    <s v="Cartão"/>
    <s v="Ana"/>
    <n v="15"/>
    <d v="2026-03-04T00:00:00"/>
    <s v="Pago"/>
    <d v="2026-03-12T00:00:00"/>
    <n v="603.74"/>
    <n v="0"/>
    <n v="0"/>
    <x v="1"/>
  </r>
  <r>
    <d v="2026-02-17T00:00:00"/>
    <s v="NF-10516"/>
    <x v="0"/>
    <s v="Administrativo"/>
    <s v="Material de Escritório"/>
    <n v="1235.93"/>
    <s v="Boleto"/>
    <s v="Lucas"/>
    <n v="45"/>
    <d v="2026-04-03T00:00:00"/>
    <s v="Pago"/>
    <d v="2026-04-06T00:00:00"/>
    <n v="1235.93"/>
    <n v="0"/>
    <n v="0"/>
    <x v="1"/>
  </r>
  <r>
    <d v="2026-02-17T00:00:00"/>
    <s v="NF-10300"/>
    <x v="3"/>
    <s v="Operações"/>
    <s v="Material de Escritório"/>
    <n v="1926.49"/>
    <s v="PIX"/>
    <s v="Camila"/>
    <n v="7"/>
    <d v="2026-02-24T00:00:00"/>
    <s v="Em atraso"/>
    <m/>
    <n v="0"/>
    <n v="1926.49"/>
    <n v="181"/>
    <x v="1"/>
  </r>
  <r>
    <d v="2026-02-17T00:00:00"/>
    <s v="NF-10344"/>
    <x v="10"/>
    <s v="Administrativo"/>
    <s v="Software"/>
    <n v="977.28"/>
    <s v="Boleto"/>
    <s v="Bruno"/>
    <n v="30"/>
    <d v="2026-03-19T00:00:00"/>
    <s v="Em atraso"/>
    <m/>
    <n v="0"/>
    <n v="977.28"/>
    <n v="158"/>
    <x v="1"/>
  </r>
  <r>
    <d v="2026-02-18T00:00:00"/>
    <s v="NF-10034"/>
    <x v="11"/>
    <s v="Operações"/>
    <s v="Software"/>
    <n v="3172.98"/>
    <s v="Cartão"/>
    <s v="Fernanda"/>
    <n v="30"/>
    <d v="2026-03-20T00:00:00"/>
    <s v="Pago"/>
    <d v="2026-03-28T00:00:00"/>
    <n v="3172.98"/>
    <n v="0"/>
    <n v="0"/>
    <x v="1"/>
  </r>
  <r>
    <d v="2026-02-18T00:00:00"/>
    <s v="NF-10463"/>
    <x v="6"/>
    <s v="Administrativo"/>
    <s v="Software"/>
    <n v="2335.12"/>
    <s v="Transferência"/>
    <s v="Ana"/>
    <n v="30"/>
    <d v="2026-03-20T00:00:00"/>
    <s v="Pago"/>
    <d v="2026-03-21T00:00:00"/>
    <n v="2335.12"/>
    <n v="0"/>
    <n v="0"/>
    <x v="1"/>
  </r>
  <r>
    <d v="2026-02-18T00:00:00"/>
    <s v="NF-10380"/>
    <x v="11"/>
    <s v="Comercial"/>
    <s v="Consultoria"/>
    <n v="3179.94"/>
    <s v="Cartão"/>
    <s v="Lucas"/>
    <n v="30"/>
    <d v="2026-03-20T00:00:00"/>
    <s v="Em aberto"/>
    <m/>
    <n v="0"/>
    <n v="3179.94"/>
    <n v="0"/>
    <x v="1"/>
  </r>
  <r>
    <d v="2026-02-19T00:00:00"/>
    <s v="NF-10075"/>
    <x v="3"/>
    <s v="Comercial"/>
    <s v="Serviços"/>
    <n v="1439.47"/>
    <s v="Cartão"/>
    <s v="Ana"/>
    <n v="30"/>
    <d v="2026-03-21T00:00:00"/>
    <s v="Pago"/>
    <d v="2026-03-28T00:00:00"/>
    <n v="1439.47"/>
    <n v="0"/>
    <n v="0"/>
    <x v="1"/>
  </r>
  <r>
    <d v="2026-02-19T00:00:00"/>
    <s v="NF-10430"/>
    <x v="3"/>
    <s v="Administrativo"/>
    <s v="Equipamentos"/>
    <n v="776.79"/>
    <s v="Boleto"/>
    <s v="Fernanda"/>
    <n v="30"/>
    <d v="2026-03-21T00:00:00"/>
    <s v="Pago"/>
    <d v="2026-03-25T00:00:00"/>
    <n v="776.79"/>
    <n v="0"/>
    <n v="0"/>
    <x v="1"/>
  </r>
  <r>
    <d v="2026-02-20T00:00:00"/>
    <s v="NF-10208"/>
    <x v="7"/>
    <s v="Administrativo"/>
    <s v="Software"/>
    <n v="484.11"/>
    <s v="Cartão"/>
    <s v="Diego"/>
    <n v="30"/>
    <d v="2026-03-22T00:00:00"/>
    <s v="Pago"/>
    <d v="2026-03-28T00:00:00"/>
    <n v="484.11"/>
    <n v="0"/>
    <n v="0"/>
    <x v="1"/>
  </r>
  <r>
    <d v="2026-02-20T00:00:00"/>
    <s v="NF-10453"/>
    <x v="9"/>
    <s v="Financeiro"/>
    <s v="Material de Escritório"/>
    <n v="567.16"/>
    <s v="Transferência"/>
    <s v="Lucas"/>
    <n v="30"/>
    <d v="2026-03-22T00:00:00"/>
    <s v="Pago"/>
    <d v="2026-04-02T00:00:00"/>
    <n v="567.16"/>
    <n v="0"/>
    <n v="0"/>
    <x v="1"/>
  </r>
  <r>
    <d v="2026-02-20T00:00:00"/>
    <s v="NF-10044"/>
    <x v="2"/>
    <s v="Administrativo"/>
    <s v="Software"/>
    <n v="1774.95"/>
    <s v="Cartão"/>
    <s v="Fernanda"/>
    <n v="15"/>
    <d v="2026-03-07T00:00:00"/>
    <s v="Em aberto"/>
    <m/>
    <n v="0"/>
    <n v="1774.95"/>
    <n v="0"/>
    <x v="1"/>
  </r>
  <r>
    <d v="2026-02-20T00:00:00"/>
    <s v="NF-10049"/>
    <x v="2"/>
    <s v="Comercial"/>
    <s v="Software"/>
    <n v="7378.36"/>
    <s v="Transferência"/>
    <s v="Ana"/>
    <n v="15"/>
    <d v="2026-03-07T00:00:00"/>
    <s v="Pago"/>
    <d v="2026-03-15T00:00:00"/>
    <n v="7378.36"/>
    <n v="0"/>
    <n v="0"/>
    <x v="1"/>
  </r>
  <r>
    <d v="2026-02-20T00:00:00"/>
    <s v="NF-10362"/>
    <x v="8"/>
    <s v="Operações"/>
    <s v="Material de Escritório"/>
    <n v="2314.5500000000002"/>
    <s v="Transferência"/>
    <s v="Fernanda"/>
    <n v="30"/>
    <d v="2026-03-22T00:00:00"/>
    <s v="Em aberto"/>
    <m/>
    <n v="0"/>
    <n v="2314.5500000000002"/>
    <n v="0"/>
    <x v="1"/>
  </r>
  <r>
    <d v="2026-02-21T00:00:00"/>
    <s v="NF-10162"/>
    <x v="11"/>
    <s v="Financeiro"/>
    <s v="Serviços"/>
    <n v="1916.7"/>
    <s v="Transferência"/>
    <s v="Camila"/>
    <n v="15"/>
    <d v="2026-03-08T00:00:00"/>
    <s v="Pago"/>
    <d v="2026-03-18T00:00:00"/>
    <n v="1916.7"/>
    <n v="0"/>
    <n v="0"/>
    <x v="1"/>
  </r>
  <r>
    <d v="2026-02-21T00:00:00"/>
    <s v="NF-10277"/>
    <x v="4"/>
    <s v="Comercial"/>
    <s v="Equipamentos"/>
    <n v="1325.23"/>
    <s v="Cartão"/>
    <s v="Fernanda"/>
    <n v="30"/>
    <d v="2026-03-23T00:00:00"/>
    <s v="Pago"/>
    <d v="2026-03-28T00:00:00"/>
    <n v="1325.23"/>
    <n v="0"/>
    <n v="0"/>
    <x v="1"/>
  </r>
  <r>
    <d v="2026-02-21T00:00:00"/>
    <s v="NF-10220"/>
    <x v="4"/>
    <s v="Comercial"/>
    <s v="Software"/>
    <n v="673.5"/>
    <s v="PIX"/>
    <s v="Fernanda"/>
    <n v="30"/>
    <d v="2026-03-23T00:00:00"/>
    <s v="Pago"/>
    <d v="2026-04-01T00:00:00"/>
    <n v="673.5"/>
    <n v="0"/>
    <n v="0"/>
    <x v="1"/>
  </r>
  <r>
    <d v="2026-02-21T00:00:00"/>
    <s v="NF-10486"/>
    <x v="9"/>
    <s v="Comercial"/>
    <s v="Serviços"/>
    <n v="11109.11"/>
    <s v="Boleto"/>
    <s v="Diego"/>
    <n v="45"/>
    <d v="2026-04-07T00:00:00"/>
    <s v="Pago"/>
    <d v="2026-04-08T00:00:00"/>
    <n v="11109.11"/>
    <n v="0"/>
    <n v="0"/>
    <x v="1"/>
  </r>
  <r>
    <d v="2026-02-22T00:00:00"/>
    <s v="NF-10020"/>
    <x v="7"/>
    <s v="Comercial"/>
    <s v="Serviços"/>
    <n v="1651.8"/>
    <s v="Cartão"/>
    <s v="Fernanda"/>
    <n v="30"/>
    <d v="2026-03-24T00:00:00"/>
    <s v="Pago"/>
    <d v="2026-03-27T00:00:00"/>
    <n v="1651.8"/>
    <n v="0"/>
    <n v="0"/>
    <x v="1"/>
  </r>
  <r>
    <d v="2026-02-22T00:00:00"/>
    <s v="NF-10240"/>
    <x v="3"/>
    <s v="Comercial"/>
    <s v="Equipamentos"/>
    <n v="995.18"/>
    <s v="PIX"/>
    <s v="Camila"/>
    <n v="30"/>
    <d v="2026-03-24T00:00:00"/>
    <s v="Pago"/>
    <d v="2026-03-27T00:00:00"/>
    <n v="995.18"/>
    <n v="0"/>
    <n v="0"/>
    <x v="1"/>
  </r>
  <r>
    <d v="2026-02-22T00:00:00"/>
    <s v="NF-10101"/>
    <x v="5"/>
    <s v="Operações"/>
    <s v="Material de Escritório"/>
    <n v="547.38"/>
    <s v="Boleto"/>
    <s v="Camila"/>
    <n v="30"/>
    <d v="2026-03-24T00:00:00"/>
    <s v="Pago"/>
    <d v="2026-04-03T00:00:00"/>
    <n v="547.38"/>
    <n v="0"/>
    <n v="0"/>
    <x v="1"/>
  </r>
  <r>
    <d v="2026-02-22T00:00:00"/>
    <s v="NF-10061"/>
    <x v="6"/>
    <s v="Comercial"/>
    <s v="Equipamentos"/>
    <n v="594.27"/>
    <s v="PIX"/>
    <s v="Lucas"/>
    <n v="15"/>
    <d v="2026-03-09T00:00:00"/>
    <s v="Pago"/>
    <d v="2026-03-19T00:00:00"/>
    <n v="594.27"/>
    <n v="0"/>
    <n v="0"/>
    <x v="1"/>
  </r>
  <r>
    <d v="2026-02-22T00:00:00"/>
    <s v="NF-10472"/>
    <x v="8"/>
    <s v="Financeiro"/>
    <s v="Equipamentos"/>
    <n v="3951.64"/>
    <s v="Boleto"/>
    <s v="Camila"/>
    <n v="15"/>
    <d v="2026-03-09T00:00:00"/>
    <s v="Pago"/>
    <d v="2026-03-16T00:00:00"/>
    <n v="3951.64"/>
    <n v="0"/>
    <n v="0"/>
    <x v="1"/>
  </r>
  <r>
    <d v="2026-02-23T00:00:00"/>
    <s v="NF-10405"/>
    <x v="6"/>
    <s v="Comercial"/>
    <s v="Equipamentos"/>
    <n v="1812.09"/>
    <s v="Transferência"/>
    <s v="Lucas"/>
    <n v="15"/>
    <d v="2026-03-10T00:00:00"/>
    <s v="Em aberto"/>
    <m/>
    <n v="0"/>
    <n v="1812.09"/>
    <n v="0"/>
    <x v="1"/>
  </r>
  <r>
    <d v="2026-02-23T00:00:00"/>
    <s v="NF-10313"/>
    <x v="3"/>
    <s v="Operações"/>
    <s v="Equipamentos"/>
    <n v="4068.2"/>
    <s v="PIX"/>
    <s v="Lucas"/>
    <n v="30"/>
    <d v="2026-03-25T00:00:00"/>
    <s v="Pago"/>
    <d v="2026-04-03T00:00:00"/>
    <n v="4068.2"/>
    <n v="0"/>
    <n v="0"/>
    <x v="1"/>
  </r>
  <r>
    <d v="2026-02-23T00:00:00"/>
    <s v="NF-10334"/>
    <x v="8"/>
    <s v="Administrativo"/>
    <s v="Equipamentos"/>
    <n v="263.44"/>
    <s v="Boleto"/>
    <s v="Diego"/>
    <n v="30"/>
    <d v="2026-03-25T00:00:00"/>
    <s v="Pago"/>
    <d v="2026-03-31T00:00:00"/>
    <n v="263.44"/>
    <n v="0"/>
    <n v="0"/>
    <x v="1"/>
  </r>
  <r>
    <d v="2026-02-23T00:00:00"/>
    <s v="NF-10080"/>
    <x v="0"/>
    <s v="Comercial"/>
    <s v="Software"/>
    <n v="2720.79"/>
    <s v="Transferência"/>
    <s v="Lucas"/>
    <n v="30"/>
    <d v="2026-03-25T00:00:00"/>
    <s v="Pago"/>
    <d v="2026-04-01T00:00:00"/>
    <n v="2720.79"/>
    <n v="0"/>
    <n v="0"/>
    <x v="1"/>
  </r>
  <r>
    <d v="2026-02-23T00:00:00"/>
    <s v="NF-10083"/>
    <x v="8"/>
    <s v="Administrativo"/>
    <s v="Software"/>
    <n v="787.35"/>
    <s v="Transferência"/>
    <s v="Diego"/>
    <n v="30"/>
    <d v="2026-03-25T00:00:00"/>
    <s v="Pago"/>
    <d v="2026-03-26T00:00:00"/>
    <n v="787.35"/>
    <n v="0"/>
    <n v="0"/>
    <x v="1"/>
  </r>
  <r>
    <d v="2026-02-23T00:00:00"/>
    <s v="NF-10234"/>
    <x v="10"/>
    <s v="Operações"/>
    <s v="Serviços"/>
    <n v="565.01"/>
    <s v="Transferência"/>
    <s v="Bruno"/>
    <n v="30"/>
    <d v="2026-03-25T00:00:00"/>
    <s v="Pago"/>
    <d v="2026-04-05T00:00:00"/>
    <n v="565.01"/>
    <n v="0"/>
    <n v="0"/>
    <x v="1"/>
  </r>
  <r>
    <d v="2026-02-23T00:00:00"/>
    <s v="NF-10468"/>
    <x v="2"/>
    <s v="Comercial"/>
    <s v="Consultoria"/>
    <n v="853.19"/>
    <s v="Boleto"/>
    <s v="Lucas"/>
    <n v="30"/>
    <d v="2026-03-25T00:00:00"/>
    <s v="Em atraso"/>
    <m/>
    <n v="0"/>
    <n v="853.19"/>
    <n v="152"/>
    <x v="1"/>
  </r>
  <r>
    <d v="2026-02-24T00:00:00"/>
    <s v="NF-10484"/>
    <x v="3"/>
    <s v="Comercial"/>
    <s v="Consultoria"/>
    <n v="383.32"/>
    <s v="Transferência"/>
    <s v="Fernanda"/>
    <n v="7"/>
    <d v="2026-03-03T00:00:00"/>
    <s v="Pago"/>
    <d v="2026-03-13T00:00:00"/>
    <n v="383.32"/>
    <n v="0"/>
    <n v="0"/>
    <x v="1"/>
  </r>
  <r>
    <d v="2026-02-24T00:00:00"/>
    <s v="NF-10046"/>
    <x v="9"/>
    <s v="Comercial"/>
    <s v="Software"/>
    <n v="705.14"/>
    <s v="Transferência"/>
    <s v="Camila"/>
    <n v="45"/>
    <d v="2026-04-10T00:00:00"/>
    <s v="Em aberto"/>
    <m/>
    <n v="0"/>
    <n v="705.14"/>
    <n v="0"/>
    <x v="1"/>
  </r>
  <r>
    <d v="2026-02-26T00:00:00"/>
    <s v="NF-10436"/>
    <x v="10"/>
    <s v="Operações"/>
    <s v="Material de Escritório"/>
    <n v="983.77"/>
    <s v="PIX"/>
    <s v="Diego"/>
    <n v="15"/>
    <d v="2026-03-13T00:00:00"/>
    <s v="Pago"/>
    <d v="2026-03-19T00:00:00"/>
    <n v="983.77"/>
    <n v="0"/>
    <n v="0"/>
    <x v="1"/>
  </r>
  <r>
    <d v="2026-02-27T00:00:00"/>
    <s v="NF-10461"/>
    <x v="10"/>
    <s v="Financeiro"/>
    <s v="Serviços"/>
    <n v="1933.58"/>
    <s v="Cartão"/>
    <s v="Ana"/>
    <n v="30"/>
    <d v="2026-03-29T00:00:00"/>
    <s v="Em atraso"/>
    <m/>
    <n v="0"/>
    <n v="1933.58"/>
    <n v="148"/>
    <x v="1"/>
  </r>
  <r>
    <d v="2026-02-27T00:00:00"/>
    <s v="NF-10460"/>
    <x v="7"/>
    <s v="Operações"/>
    <s v="Software"/>
    <n v="954.1"/>
    <s v="Boleto"/>
    <s v="Ana"/>
    <n v="7"/>
    <d v="2026-03-06T00:00:00"/>
    <s v="Pago"/>
    <d v="2026-03-06T00:00:00"/>
    <n v="954.1"/>
    <n v="0"/>
    <n v="0"/>
    <x v="1"/>
  </r>
  <r>
    <d v="2026-02-27T00:00:00"/>
    <s v="NF-10031"/>
    <x v="1"/>
    <s v="Comercial"/>
    <s v="Software"/>
    <n v="1530.37"/>
    <s v="Cartão"/>
    <s v="Camila"/>
    <n v="7"/>
    <d v="2026-03-06T00:00:00"/>
    <s v="Em aberto"/>
    <m/>
    <n v="0"/>
    <n v="1530.37"/>
    <n v="0"/>
    <x v="1"/>
  </r>
  <r>
    <d v="2026-02-27T00:00:00"/>
    <s v="NF-10406"/>
    <x v="9"/>
    <s v="Administrativo"/>
    <s v="Equipamentos"/>
    <n v="732.28"/>
    <s v="Boleto"/>
    <s v="Fernanda"/>
    <n v="45"/>
    <d v="2026-04-13T00:00:00"/>
    <s v="Em aberto"/>
    <m/>
    <n v="0"/>
    <n v="732.28"/>
    <n v="0"/>
    <x v="1"/>
  </r>
  <r>
    <d v="2026-02-27T00:00:00"/>
    <s v="NF-10499"/>
    <x v="7"/>
    <s v="Operações"/>
    <s v="Software"/>
    <n v="1716.76"/>
    <s v="PIX"/>
    <s v="Fernanda"/>
    <n v="45"/>
    <d v="2026-04-13T00:00:00"/>
    <s v="Em aberto"/>
    <m/>
    <n v="0"/>
    <n v="1716.76"/>
    <n v="0"/>
    <x v="1"/>
  </r>
  <r>
    <d v="2026-02-27T00:00:00"/>
    <s v="NF-10509"/>
    <x v="10"/>
    <s v="Financeiro"/>
    <s v="Serviços"/>
    <n v="2701.88"/>
    <s v="Transferência"/>
    <s v="Lucas"/>
    <n v="7"/>
    <d v="2026-03-06T00:00:00"/>
    <s v="Pago"/>
    <d v="2026-03-14T00:00:00"/>
    <n v="2701.88"/>
    <n v="0"/>
    <n v="0"/>
    <x v="1"/>
  </r>
  <r>
    <d v="2026-02-28T00:00:00"/>
    <s v="NF-10035"/>
    <x v="6"/>
    <s v="Comercial"/>
    <s v="Software"/>
    <n v="1572.73"/>
    <s v="Boleto"/>
    <s v="Ana"/>
    <n v="15"/>
    <d v="2026-03-15T00:00:00"/>
    <s v="Em atraso"/>
    <m/>
    <n v="0"/>
    <n v="1572.73"/>
    <n v="162"/>
    <x v="1"/>
  </r>
  <r>
    <d v="2026-02-28T00:00:00"/>
    <s v="NF-10212"/>
    <x v="0"/>
    <s v="Financeiro"/>
    <s v="Software"/>
    <n v="1259.96"/>
    <s v="Boleto"/>
    <s v="Diego"/>
    <n v="15"/>
    <d v="2026-03-15T00:00:00"/>
    <s v="Em atraso"/>
    <m/>
    <n v="0"/>
    <n v="1259.96"/>
    <n v="162"/>
    <x v="1"/>
  </r>
  <r>
    <d v="2026-03-01T00:00:00"/>
    <s v="NF-10057"/>
    <x v="3"/>
    <s v="Comercial"/>
    <s v="Material de Escritório"/>
    <n v="2964.01"/>
    <s v="PIX"/>
    <s v="Ana"/>
    <n v="15"/>
    <d v="2026-03-16T00:00:00"/>
    <s v="Pago"/>
    <d v="2026-03-21T00:00:00"/>
    <n v="2964.01"/>
    <n v="0"/>
    <n v="0"/>
    <x v="2"/>
  </r>
  <r>
    <d v="2026-03-01T00:00:00"/>
    <s v="NF-10473"/>
    <x v="10"/>
    <s v="Comercial"/>
    <s v="Consultoria"/>
    <n v="3696.86"/>
    <s v="Cartão"/>
    <s v="Diego"/>
    <n v="15"/>
    <d v="2026-03-16T00:00:00"/>
    <s v="Pago"/>
    <d v="2026-03-20T00:00:00"/>
    <n v="3696.86"/>
    <n v="0"/>
    <n v="0"/>
    <x v="2"/>
  </r>
  <r>
    <d v="2026-03-01T00:00:00"/>
    <s v="NF-10434"/>
    <x v="10"/>
    <s v="Comercial"/>
    <s v="Serviços"/>
    <n v="1023.61"/>
    <s v="Boleto"/>
    <s v="Diego"/>
    <n v="30"/>
    <d v="2026-03-31T00:00:00"/>
    <s v="Pago"/>
    <d v="2026-04-11T00:00:00"/>
    <n v="1023.61"/>
    <n v="0"/>
    <n v="0"/>
    <x v="2"/>
  </r>
  <r>
    <d v="2026-03-01T00:00:00"/>
    <s v="NF-10296"/>
    <x v="11"/>
    <s v="Operações"/>
    <s v="Equipamentos"/>
    <n v="2051.13"/>
    <s v="Cartão"/>
    <s v="Lucas"/>
    <n v="15"/>
    <d v="2026-03-16T00:00:00"/>
    <s v="Pago"/>
    <d v="2026-03-26T00:00:00"/>
    <n v="2051.13"/>
    <n v="0"/>
    <n v="0"/>
    <x v="2"/>
  </r>
  <r>
    <d v="2026-03-02T00:00:00"/>
    <s v="NF-10374"/>
    <x v="7"/>
    <s v="Comercial"/>
    <s v="Software"/>
    <n v="2435.33"/>
    <s v="Boleto"/>
    <s v="Fernanda"/>
    <n v="7"/>
    <d v="2026-03-09T00:00:00"/>
    <s v="Em aberto"/>
    <m/>
    <n v="0"/>
    <n v="2435.33"/>
    <n v="0"/>
    <x v="2"/>
  </r>
  <r>
    <d v="2026-03-03T00:00:00"/>
    <s v="NF-10503"/>
    <x v="3"/>
    <s v="Comercial"/>
    <s v="Serviços"/>
    <n v="2504.91"/>
    <s v="Boleto"/>
    <s v="Lucas"/>
    <n v="7"/>
    <d v="2026-03-10T00:00:00"/>
    <s v="Em atraso"/>
    <m/>
    <n v="0"/>
    <n v="2504.91"/>
    <n v="167"/>
    <x v="2"/>
  </r>
  <r>
    <d v="2026-03-03T00:00:00"/>
    <s v="NF-10218"/>
    <x v="10"/>
    <s v="Operações"/>
    <s v="Serviços"/>
    <n v="1670.83"/>
    <s v="Transferência"/>
    <s v="Lucas"/>
    <n v="15"/>
    <d v="2026-03-18T00:00:00"/>
    <s v="Pago"/>
    <d v="2026-03-21T00:00:00"/>
    <n v="1670.83"/>
    <n v="0"/>
    <n v="0"/>
    <x v="2"/>
  </r>
  <r>
    <d v="2026-03-03T00:00:00"/>
    <s v="NF-10206"/>
    <x v="3"/>
    <s v="Comercial"/>
    <s v="Material de Escritório"/>
    <n v="602.62"/>
    <s v="Boleto"/>
    <s v="Diego"/>
    <n v="7"/>
    <d v="2026-03-10T00:00:00"/>
    <s v="Pago"/>
    <d v="2026-03-19T00:00:00"/>
    <n v="602.62"/>
    <n v="0"/>
    <n v="0"/>
    <x v="2"/>
  </r>
  <r>
    <d v="2026-03-03T00:00:00"/>
    <s v="NF-10136"/>
    <x v="7"/>
    <s v="Administrativo"/>
    <s v="Consultoria"/>
    <n v="2233.96"/>
    <s v="Boleto"/>
    <s v="Fernanda"/>
    <n v="7"/>
    <d v="2026-03-10T00:00:00"/>
    <s v="Em atraso"/>
    <m/>
    <n v="0"/>
    <n v="2233.96"/>
    <n v="167"/>
    <x v="2"/>
  </r>
  <r>
    <d v="2026-03-03T00:00:00"/>
    <s v="NF-10179"/>
    <x v="8"/>
    <s v="Financeiro"/>
    <s v="Equipamentos"/>
    <n v="2266.11"/>
    <s v="Cartão"/>
    <s v="Diego"/>
    <n v="7"/>
    <d v="2026-03-10T00:00:00"/>
    <s v="Em aberto"/>
    <m/>
    <n v="0"/>
    <n v="2266.11"/>
    <n v="0"/>
    <x v="2"/>
  </r>
  <r>
    <d v="2026-03-04T00:00:00"/>
    <s v="NF-10117"/>
    <x v="8"/>
    <s v="Financeiro"/>
    <s v="Material de Escritório"/>
    <n v="1069.6099999999999"/>
    <s v="PIX"/>
    <s v="Lucas"/>
    <n v="45"/>
    <d v="2026-04-18T00:00:00"/>
    <s v="Pago"/>
    <d v="2026-04-18T00:00:00"/>
    <n v="1069.6099999999999"/>
    <n v="0"/>
    <n v="0"/>
    <x v="2"/>
  </r>
  <r>
    <d v="2026-03-04T00:00:00"/>
    <s v="NF-10456"/>
    <x v="9"/>
    <s v="Comercial"/>
    <s v="Software"/>
    <n v="1496.73"/>
    <s v="Cartão"/>
    <s v="Camila"/>
    <n v="30"/>
    <d v="2026-04-03T00:00:00"/>
    <s v="Pago"/>
    <d v="2026-04-09T00:00:00"/>
    <n v="1496.73"/>
    <n v="0"/>
    <n v="0"/>
    <x v="2"/>
  </r>
  <r>
    <d v="2026-03-04T00:00:00"/>
    <s v="NF-10160"/>
    <x v="10"/>
    <s v="Operações"/>
    <s v="Equipamentos"/>
    <n v="5502.35"/>
    <s v="PIX"/>
    <s v="Fernanda"/>
    <n v="30"/>
    <d v="2026-04-03T00:00:00"/>
    <s v="Pago"/>
    <d v="2026-04-10T00:00:00"/>
    <n v="5502.35"/>
    <n v="0"/>
    <n v="0"/>
    <x v="2"/>
  </r>
  <r>
    <d v="2026-03-04T00:00:00"/>
    <s v="NF-10496"/>
    <x v="8"/>
    <s v="Financeiro"/>
    <s v="Software"/>
    <n v="5280.26"/>
    <s v="Cartão"/>
    <s v="Ana"/>
    <n v="15"/>
    <d v="2026-03-19T00:00:00"/>
    <s v="Em aberto"/>
    <m/>
    <n v="0"/>
    <n v="5280.26"/>
    <n v="0"/>
    <x v="2"/>
  </r>
  <r>
    <d v="2026-03-05T00:00:00"/>
    <s v="NF-10047"/>
    <x v="1"/>
    <s v="Financeiro"/>
    <s v="Equipamentos"/>
    <n v="3520.6"/>
    <s v="Transferência"/>
    <s v="Bruno"/>
    <n v="45"/>
    <d v="2026-04-19T00:00:00"/>
    <s v="Pago"/>
    <d v="2026-04-20T00:00:00"/>
    <n v="3520.6"/>
    <n v="0"/>
    <n v="0"/>
    <x v="2"/>
  </r>
  <r>
    <d v="2026-03-06T00:00:00"/>
    <s v="NF-10440"/>
    <x v="4"/>
    <s v="Operações"/>
    <s v="Consultoria"/>
    <n v="764.84"/>
    <s v="Boleto"/>
    <s v="Fernanda"/>
    <n v="15"/>
    <d v="2026-03-21T00:00:00"/>
    <s v="Pago"/>
    <d v="2026-03-27T00:00:00"/>
    <n v="764.84"/>
    <n v="0"/>
    <n v="0"/>
    <x v="2"/>
  </r>
  <r>
    <d v="2026-03-06T00:00:00"/>
    <s v="NF-10582"/>
    <x v="3"/>
    <s v="Financeiro"/>
    <s v="Software"/>
    <n v="2684.49"/>
    <s v="Cartão"/>
    <s v="Bruno"/>
    <n v="30"/>
    <d v="2026-04-05T00:00:00"/>
    <s v="Em atraso"/>
    <m/>
    <n v="0"/>
    <n v="2684.49"/>
    <n v="141"/>
    <x v="2"/>
  </r>
  <r>
    <d v="2026-03-06T00:00:00"/>
    <s v="NF-10110"/>
    <x v="1"/>
    <s v="Comercial"/>
    <s v="Consultoria"/>
    <n v="2102.7600000000002"/>
    <s v="Transferência"/>
    <s v="Camila"/>
    <n v="15"/>
    <d v="2026-03-21T00:00:00"/>
    <s v="Pago"/>
    <d v="2026-03-22T00:00:00"/>
    <n v="2102.7600000000002"/>
    <n v="0"/>
    <n v="0"/>
    <x v="2"/>
  </r>
  <r>
    <d v="2026-03-07T00:00:00"/>
    <s v="NF-10176"/>
    <x v="9"/>
    <s v="Comercial"/>
    <s v="Serviços"/>
    <n v="1456.07"/>
    <s v="Transferência"/>
    <s v="Bruno"/>
    <n v="30"/>
    <d v="2026-04-06T00:00:00"/>
    <s v="Pago"/>
    <d v="2026-04-12T00:00:00"/>
    <n v="1456.07"/>
    <n v="0"/>
    <n v="0"/>
    <x v="2"/>
  </r>
  <r>
    <d v="2026-03-07T00:00:00"/>
    <s v="NF-10449"/>
    <x v="9"/>
    <s v="Financeiro"/>
    <s v="Software"/>
    <n v="2599.1799999999998"/>
    <s v="Cartão"/>
    <s v="Diego"/>
    <n v="7"/>
    <d v="2026-03-14T00:00:00"/>
    <s v="Pago"/>
    <d v="2026-03-19T00:00:00"/>
    <n v="2599.1799999999998"/>
    <n v="0"/>
    <n v="0"/>
    <x v="2"/>
  </r>
  <r>
    <d v="2026-03-08T00:00:00"/>
    <s v="NF-10581"/>
    <x v="5"/>
    <s v="Financeiro"/>
    <s v="Consultoria"/>
    <n v="1476.22"/>
    <s v="Boleto"/>
    <s v="Fernanda"/>
    <n v="15"/>
    <d v="2026-03-23T00:00:00"/>
    <s v="Pago"/>
    <d v="2026-03-24T00:00:00"/>
    <n v="1476.22"/>
    <n v="0"/>
    <n v="0"/>
    <x v="2"/>
  </r>
  <r>
    <d v="2026-03-08T00:00:00"/>
    <s v="NF-10407"/>
    <x v="8"/>
    <s v="Operações"/>
    <s v="Material de Escritório"/>
    <n v="329.82"/>
    <s v="PIX"/>
    <s v="Camila"/>
    <n v="7"/>
    <d v="2026-03-15T00:00:00"/>
    <s v="Em aberto"/>
    <m/>
    <n v="0"/>
    <n v="329.82"/>
    <n v="0"/>
    <x v="2"/>
  </r>
  <r>
    <d v="2026-03-08T00:00:00"/>
    <s v="NF-10401"/>
    <x v="1"/>
    <s v="Comercial"/>
    <s v="Software"/>
    <n v="1200.83"/>
    <s v="Boleto"/>
    <s v="Diego"/>
    <n v="45"/>
    <d v="2026-04-22T00:00:00"/>
    <s v="Em aberto"/>
    <m/>
    <n v="0"/>
    <n v="1200.83"/>
    <n v="0"/>
    <x v="2"/>
  </r>
  <r>
    <d v="2026-03-09T00:00:00"/>
    <s v="NF-10245"/>
    <x v="3"/>
    <s v="Comercial"/>
    <s v="Software"/>
    <n v="1200.17"/>
    <s v="Cartão"/>
    <s v="Camila"/>
    <n v="15"/>
    <d v="2026-03-24T00:00:00"/>
    <s v="Pago"/>
    <d v="2026-03-30T00:00:00"/>
    <n v="1200.17"/>
    <n v="0"/>
    <n v="0"/>
    <x v="2"/>
  </r>
  <r>
    <d v="2026-03-09T00:00:00"/>
    <s v="NF-10340"/>
    <x v="1"/>
    <s v="Comercial"/>
    <s v="Software"/>
    <n v="6733.86"/>
    <s v="Cartão"/>
    <s v="Ana"/>
    <n v="30"/>
    <d v="2026-04-08T00:00:00"/>
    <s v="Pago"/>
    <d v="2026-04-14T00:00:00"/>
    <n v="6733.86"/>
    <n v="0"/>
    <n v="0"/>
    <x v="2"/>
  </r>
  <r>
    <d v="2026-03-10T00:00:00"/>
    <s v="NF-10551"/>
    <x v="10"/>
    <s v="Administrativo"/>
    <s v="Consultoria"/>
    <n v="545.19000000000005"/>
    <s v="Transferência"/>
    <s v="Lucas"/>
    <n v="7"/>
    <d v="2026-03-17T00:00:00"/>
    <s v="Em aberto"/>
    <m/>
    <n v="0"/>
    <n v="545.19000000000005"/>
    <n v="0"/>
    <x v="2"/>
  </r>
  <r>
    <d v="2026-03-10T00:00:00"/>
    <s v="NF-10253"/>
    <x v="0"/>
    <s v="Comercial"/>
    <s v="Material de Escritório"/>
    <n v="1717.43"/>
    <s v="Cartão"/>
    <s v="Fernanda"/>
    <n v="15"/>
    <d v="2026-03-25T00:00:00"/>
    <s v="Pago"/>
    <d v="2026-03-28T00:00:00"/>
    <n v="1717.43"/>
    <n v="0"/>
    <n v="0"/>
    <x v="2"/>
  </r>
  <r>
    <d v="2026-03-10T00:00:00"/>
    <s v="NF-10536"/>
    <x v="3"/>
    <s v="Administrativo"/>
    <s v="Equipamentos"/>
    <n v="627.72"/>
    <s v="Boleto"/>
    <s v="Camila"/>
    <n v="30"/>
    <d v="2026-04-09T00:00:00"/>
    <s v="Pago"/>
    <d v="2026-04-14T00:00:00"/>
    <n v="627.72"/>
    <n v="0"/>
    <n v="0"/>
    <x v="2"/>
  </r>
  <r>
    <d v="2026-03-10T00:00:00"/>
    <s v="NF-10524"/>
    <x v="2"/>
    <s v="Operações"/>
    <s v="Serviços"/>
    <n v="1159.04"/>
    <s v="PIX"/>
    <s v="Fernanda"/>
    <n v="30"/>
    <d v="2026-04-09T00:00:00"/>
    <s v="Pago"/>
    <d v="2026-04-10T00:00:00"/>
    <n v="1159.04"/>
    <n v="0"/>
    <n v="0"/>
    <x v="2"/>
  </r>
  <r>
    <d v="2026-03-10T00:00:00"/>
    <s v="NF-10560"/>
    <x v="3"/>
    <s v="Administrativo"/>
    <s v="Equipamentos"/>
    <n v="259.75"/>
    <s v="PIX"/>
    <s v="Fernanda"/>
    <n v="30"/>
    <d v="2026-04-09T00:00:00"/>
    <s v="Em atraso"/>
    <m/>
    <n v="0"/>
    <n v="259.75"/>
    <n v="137"/>
    <x v="2"/>
  </r>
  <r>
    <d v="2026-03-11T00:00:00"/>
    <s v="NF-10466"/>
    <x v="7"/>
    <s v="Comercial"/>
    <s v="Equipamentos"/>
    <n v="1183.97"/>
    <s v="Transferência"/>
    <s v="Bruno"/>
    <n v="30"/>
    <d v="2026-04-10T00:00:00"/>
    <s v="Pago"/>
    <d v="2026-04-12T00:00:00"/>
    <n v="1183.97"/>
    <n v="0"/>
    <n v="0"/>
    <x v="2"/>
  </r>
  <r>
    <d v="2026-03-11T00:00:00"/>
    <s v="NF-10263"/>
    <x v="4"/>
    <s v="Administrativo"/>
    <s v="Consultoria"/>
    <n v="957.97"/>
    <s v="Boleto"/>
    <s v="Lucas"/>
    <n v="30"/>
    <d v="2026-04-10T00:00:00"/>
    <s v="Pago"/>
    <d v="2026-04-12T00:00:00"/>
    <n v="957.97"/>
    <n v="0"/>
    <n v="0"/>
    <x v="2"/>
  </r>
  <r>
    <d v="2026-03-12T00:00:00"/>
    <s v="NF-10112"/>
    <x v="1"/>
    <s v="Operações"/>
    <s v="Serviços"/>
    <n v="2418.71"/>
    <s v="Transferência"/>
    <s v="Camila"/>
    <n v="30"/>
    <d v="2026-04-11T00:00:00"/>
    <s v="Pago"/>
    <d v="2026-04-14T00:00:00"/>
    <n v="2418.71"/>
    <n v="0"/>
    <n v="0"/>
    <x v="2"/>
  </r>
  <r>
    <d v="2026-03-12T00:00:00"/>
    <s v="NF-10172"/>
    <x v="3"/>
    <s v="Comercial"/>
    <s v="Consultoria"/>
    <n v="1100.3599999999999"/>
    <s v="PIX"/>
    <s v="Bruno"/>
    <n v="15"/>
    <d v="2026-03-27T00:00:00"/>
    <s v="Pago"/>
    <d v="2026-03-30T00:00:00"/>
    <n v="1100.3599999999999"/>
    <n v="0"/>
    <n v="0"/>
    <x v="2"/>
  </r>
  <r>
    <d v="2026-03-13T00:00:00"/>
    <s v="NF-10005"/>
    <x v="11"/>
    <s v="Comercial"/>
    <s v="Serviços"/>
    <n v="1337.17"/>
    <s v="Cartão"/>
    <s v="Ana"/>
    <n v="7"/>
    <d v="2026-03-20T00:00:00"/>
    <s v="Pago"/>
    <d v="2026-03-21T00:00:00"/>
    <n v="1337.17"/>
    <n v="0"/>
    <n v="0"/>
    <x v="2"/>
  </r>
  <r>
    <d v="2026-03-13T00:00:00"/>
    <s v="NF-10130"/>
    <x v="2"/>
    <s v="Financeiro"/>
    <s v="Equipamentos"/>
    <n v="2655.76"/>
    <s v="Boleto"/>
    <s v="Fernanda"/>
    <n v="7"/>
    <d v="2026-03-20T00:00:00"/>
    <s v="Pago"/>
    <d v="2026-03-30T00:00:00"/>
    <n v="2655.76"/>
    <n v="0"/>
    <n v="0"/>
    <x v="2"/>
  </r>
  <r>
    <d v="2026-03-14T00:00:00"/>
    <s v="NF-10052"/>
    <x v="11"/>
    <s v="Operações"/>
    <s v="Material de Escritório"/>
    <n v="2292.84"/>
    <s v="PIX"/>
    <s v="Ana"/>
    <n v="7"/>
    <d v="2026-03-21T00:00:00"/>
    <s v="Pago"/>
    <d v="2026-03-27T00:00:00"/>
    <n v="2292.84"/>
    <n v="0"/>
    <n v="0"/>
    <x v="2"/>
  </r>
  <r>
    <d v="2026-03-15T00:00:00"/>
    <s v="NF-10585"/>
    <x v="5"/>
    <s v="Operações"/>
    <s v="Serviços"/>
    <n v="1477.95"/>
    <s v="PIX"/>
    <s v="Ana"/>
    <n v="30"/>
    <d v="2026-04-14T00:00:00"/>
    <s v="Pago"/>
    <d v="2026-04-22T00:00:00"/>
    <n v="1477.95"/>
    <n v="0"/>
    <n v="0"/>
    <x v="2"/>
  </r>
  <r>
    <d v="2026-03-16T00:00:00"/>
    <s v="NF-10318"/>
    <x v="2"/>
    <s v="Comercial"/>
    <s v="Equipamentos"/>
    <n v="3397.89"/>
    <s v="PIX"/>
    <s v="Camila"/>
    <n v="15"/>
    <d v="2026-03-31T00:00:00"/>
    <s v="Pago"/>
    <d v="2026-04-04T00:00:00"/>
    <n v="3397.89"/>
    <n v="0"/>
    <n v="0"/>
    <x v="2"/>
  </r>
  <r>
    <d v="2026-03-16T00:00:00"/>
    <s v="NF-10189"/>
    <x v="5"/>
    <s v="Comercial"/>
    <s v="Software"/>
    <n v="499.95"/>
    <s v="Transferência"/>
    <s v="Lucas"/>
    <n v="30"/>
    <d v="2026-04-15T00:00:00"/>
    <s v="Em aberto"/>
    <m/>
    <n v="0"/>
    <n v="499.95"/>
    <n v="0"/>
    <x v="2"/>
  </r>
  <r>
    <d v="2026-03-16T00:00:00"/>
    <s v="NF-10011"/>
    <x v="7"/>
    <s v="Operações"/>
    <s v="Serviços"/>
    <n v="1985.45"/>
    <s v="Boleto"/>
    <s v="Fernanda"/>
    <n v="30"/>
    <d v="2026-04-15T00:00:00"/>
    <s v="Em atraso"/>
    <m/>
    <n v="0"/>
    <n v="1985.45"/>
    <n v="131"/>
    <x v="2"/>
  </r>
  <r>
    <d v="2026-03-17T00:00:00"/>
    <s v="NF-10528"/>
    <x v="1"/>
    <s v="Financeiro"/>
    <s v="Software"/>
    <n v="1818.39"/>
    <s v="PIX"/>
    <s v="Fernanda"/>
    <n v="7"/>
    <d v="2026-03-24T00:00:00"/>
    <s v="Em aberto"/>
    <m/>
    <n v="0"/>
    <n v="1818.39"/>
    <n v="0"/>
    <x v="2"/>
  </r>
  <r>
    <d v="2026-03-21T00:00:00"/>
    <s v="NF-10564"/>
    <x v="11"/>
    <s v="Comercial"/>
    <s v="Serviços"/>
    <n v="1882.68"/>
    <s v="PIX"/>
    <s v="Ana"/>
    <n v="45"/>
    <d v="2026-05-05T00:00:00"/>
    <s v="Pago"/>
    <d v="2026-05-13T00:00:00"/>
    <n v="1882.68"/>
    <n v="0"/>
    <n v="0"/>
    <x v="2"/>
  </r>
  <r>
    <d v="2026-03-22T00:00:00"/>
    <s v="NF-10229"/>
    <x v="10"/>
    <s v="Financeiro"/>
    <s v="Software"/>
    <n v="591.59"/>
    <s v="PIX"/>
    <s v="Camila"/>
    <n v="30"/>
    <d v="2026-04-21T00:00:00"/>
    <s v="Pago"/>
    <d v="2026-04-21T00:00:00"/>
    <n v="591.59"/>
    <n v="0"/>
    <n v="0"/>
    <x v="2"/>
  </r>
  <r>
    <d v="2026-03-22T00:00:00"/>
    <s v="NF-10073"/>
    <x v="11"/>
    <s v="Administrativo"/>
    <s v="Serviços"/>
    <n v="1090.1400000000001"/>
    <s v="Cartão"/>
    <s v="Lucas"/>
    <n v="45"/>
    <d v="2026-05-06T00:00:00"/>
    <s v="Pago"/>
    <d v="2026-05-14T00:00:00"/>
    <n v="1090.1400000000001"/>
    <n v="0"/>
    <n v="0"/>
    <x v="2"/>
  </r>
  <r>
    <d v="2026-03-22T00:00:00"/>
    <s v="NF-10595"/>
    <x v="10"/>
    <s v="Financeiro"/>
    <s v="Material de Escritório"/>
    <n v="1749.02"/>
    <s v="PIX"/>
    <s v="Fernanda"/>
    <n v="30"/>
    <d v="2026-04-21T00:00:00"/>
    <s v="Pago"/>
    <d v="2026-04-26T00:00:00"/>
    <n v="1749.02"/>
    <n v="0"/>
    <n v="0"/>
    <x v="2"/>
  </r>
  <r>
    <d v="2026-03-22T00:00:00"/>
    <s v="NF-10119"/>
    <x v="11"/>
    <s v="Operações"/>
    <s v="Material de Escritório"/>
    <n v="1195.9000000000001"/>
    <s v="Boleto"/>
    <s v="Ana"/>
    <n v="30"/>
    <d v="2026-04-21T00:00:00"/>
    <s v="Em aberto"/>
    <m/>
    <n v="0"/>
    <n v="1195.9000000000001"/>
    <n v="0"/>
    <x v="2"/>
  </r>
  <r>
    <d v="2026-03-23T00:00:00"/>
    <s v="NF-10099"/>
    <x v="2"/>
    <s v="Administrativo"/>
    <s v="Material de Escritório"/>
    <n v="725.44"/>
    <s v="Cartão"/>
    <s v="Camila"/>
    <n v="15"/>
    <d v="2026-04-07T00:00:00"/>
    <s v="Pago"/>
    <d v="2026-04-14T00:00:00"/>
    <n v="725.44"/>
    <n v="0"/>
    <n v="0"/>
    <x v="2"/>
  </r>
  <r>
    <d v="2026-03-23T00:00:00"/>
    <s v="NF-10282"/>
    <x v="0"/>
    <s v="Comercial"/>
    <s v="Equipamentos"/>
    <n v="2571.1"/>
    <s v="Transferência"/>
    <s v="Ana"/>
    <n v="30"/>
    <d v="2026-04-22T00:00:00"/>
    <s v="Pago"/>
    <d v="2026-04-24T00:00:00"/>
    <n v="2571.1"/>
    <n v="0"/>
    <n v="0"/>
    <x v="2"/>
  </r>
  <r>
    <d v="2026-03-23T00:00:00"/>
    <s v="NF-10332"/>
    <x v="4"/>
    <s v="Comercial"/>
    <s v="Software"/>
    <n v="1179.75"/>
    <s v="PIX"/>
    <s v="Camila"/>
    <n v="7"/>
    <d v="2026-03-30T00:00:00"/>
    <s v="Pago"/>
    <d v="2026-04-01T00:00:00"/>
    <n v="1179.75"/>
    <n v="0"/>
    <n v="0"/>
    <x v="2"/>
  </r>
  <r>
    <d v="2026-03-25T00:00:00"/>
    <s v="NF-10324"/>
    <x v="7"/>
    <s v="Operações"/>
    <s v="Consultoria"/>
    <n v="748.15"/>
    <s v="PIX"/>
    <s v="Fernanda"/>
    <n v="15"/>
    <d v="2026-04-09T00:00:00"/>
    <s v="Em aberto"/>
    <m/>
    <n v="0"/>
    <n v="748.15"/>
    <n v="0"/>
    <x v="2"/>
  </r>
  <r>
    <d v="2026-03-25T00:00:00"/>
    <s v="NF-10186"/>
    <x v="9"/>
    <s v="Comercial"/>
    <s v="Software"/>
    <n v="1124.95"/>
    <s v="Transferência"/>
    <s v="Lucas"/>
    <n v="15"/>
    <d v="2026-04-09T00:00:00"/>
    <s v="Pago"/>
    <d v="2026-04-17T00:00:00"/>
    <n v="1124.95"/>
    <n v="0"/>
    <n v="0"/>
    <x v="2"/>
  </r>
  <r>
    <d v="2026-03-25T00:00:00"/>
    <s v="NF-10063"/>
    <x v="4"/>
    <s v="Comercial"/>
    <s v="Material de Escritório"/>
    <n v="2072.7600000000002"/>
    <s v="PIX"/>
    <s v="Lucas"/>
    <n v="30"/>
    <d v="2026-04-24T00:00:00"/>
    <s v="Em atraso"/>
    <m/>
    <n v="0"/>
    <n v="2072.7600000000002"/>
    <n v="122"/>
    <x v="2"/>
  </r>
  <r>
    <d v="2026-03-25T00:00:00"/>
    <s v="NF-10568"/>
    <x v="2"/>
    <s v="Comercial"/>
    <s v="Material de Escritório"/>
    <n v="1922.81"/>
    <s v="PIX"/>
    <s v="Bruno"/>
    <n v="15"/>
    <d v="2026-04-09T00:00:00"/>
    <s v="Em aberto"/>
    <m/>
    <n v="0"/>
    <n v="1922.81"/>
    <n v="0"/>
    <x v="2"/>
  </r>
  <r>
    <d v="2026-03-26T00:00:00"/>
    <s v="NF-10544"/>
    <x v="6"/>
    <s v="Administrativo"/>
    <s v="Material de Escritório"/>
    <n v="987.3"/>
    <s v="PIX"/>
    <s v="Diego"/>
    <n v="7"/>
    <d v="2026-04-02T00:00:00"/>
    <s v="Em atraso"/>
    <m/>
    <n v="0"/>
    <n v="987.3"/>
    <n v="144"/>
    <x v="2"/>
  </r>
  <r>
    <d v="2026-03-27T00:00:00"/>
    <s v="NF-10452"/>
    <x v="0"/>
    <s v="Operações"/>
    <s v="Software"/>
    <n v="1366.25"/>
    <s v="Boleto"/>
    <s v="Fernanda"/>
    <n v="30"/>
    <d v="2026-04-26T00:00:00"/>
    <s v="Pago"/>
    <d v="2026-05-01T00:00:00"/>
    <n v="1366.25"/>
    <n v="0"/>
    <n v="0"/>
    <x v="2"/>
  </r>
  <r>
    <d v="2026-03-27T00:00:00"/>
    <s v="NF-10532"/>
    <x v="3"/>
    <s v="Operações"/>
    <s v="Material de Escritório"/>
    <n v="841.05"/>
    <s v="PIX"/>
    <s v="Lucas"/>
    <n v="30"/>
    <d v="2026-04-26T00:00:00"/>
    <s v="Pago"/>
    <d v="2026-04-28T00:00:00"/>
    <n v="841.05"/>
    <n v="0"/>
    <n v="0"/>
    <x v="2"/>
  </r>
  <r>
    <d v="2026-03-27T00:00:00"/>
    <s v="NF-10462"/>
    <x v="2"/>
    <s v="Financeiro"/>
    <s v="Consultoria"/>
    <n v="2125.4"/>
    <s v="PIX"/>
    <s v="Bruno"/>
    <n v="15"/>
    <d v="2026-04-11T00:00:00"/>
    <s v="Pago"/>
    <d v="2026-04-13T00:00:00"/>
    <n v="2125.4"/>
    <n v="0"/>
    <n v="0"/>
    <x v="2"/>
  </r>
  <r>
    <d v="2026-03-27T00:00:00"/>
    <s v="NF-10174"/>
    <x v="8"/>
    <s v="Comercial"/>
    <s v="Software"/>
    <n v="334.78"/>
    <s v="Boleto"/>
    <s v="Camila"/>
    <n v="30"/>
    <d v="2026-04-26T00:00:00"/>
    <s v="Pago"/>
    <d v="2026-05-01T00:00:00"/>
    <n v="334.78"/>
    <n v="0"/>
    <n v="0"/>
    <x v="2"/>
  </r>
  <r>
    <d v="2026-03-27T00:00:00"/>
    <s v="NF-10414"/>
    <x v="7"/>
    <s v="Operações"/>
    <s v="Software"/>
    <n v="1793.11"/>
    <s v="Cartão"/>
    <s v="Bruno"/>
    <n v="30"/>
    <d v="2026-04-26T00:00:00"/>
    <s v="Em aberto"/>
    <m/>
    <n v="0"/>
    <n v="1793.11"/>
    <n v="0"/>
    <x v="2"/>
  </r>
  <r>
    <d v="2026-03-28T00:00:00"/>
    <s v="NF-10235"/>
    <x v="2"/>
    <s v="Operações"/>
    <s v="Material de Escritório"/>
    <n v="2708.27"/>
    <s v="Boleto"/>
    <s v="Camila"/>
    <n v="30"/>
    <d v="2026-04-27T00:00:00"/>
    <s v="Em aberto"/>
    <m/>
    <n v="0"/>
    <n v="2708.27"/>
    <n v="0"/>
    <x v="2"/>
  </r>
  <r>
    <d v="2026-03-29T00:00:00"/>
    <s v="NF-10013"/>
    <x v="6"/>
    <s v="Comercial"/>
    <s v="Consultoria"/>
    <n v="1559.61"/>
    <s v="Cartão"/>
    <s v="Bruno"/>
    <n v="7"/>
    <d v="2026-04-05T00:00:00"/>
    <s v="Em atraso"/>
    <m/>
    <n v="0"/>
    <n v="1559.61"/>
    <n v="141"/>
    <x v="2"/>
  </r>
  <r>
    <d v="2026-03-29T00:00:00"/>
    <s v="NF-10114"/>
    <x v="11"/>
    <s v="Financeiro"/>
    <s v="Serviços"/>
    <n v="1429.3"/>
    <s v="Cartão"/>
    <s v="Lucas"/>
    <n v="15"/>
    <d v="2026-04-13T00:00:00"/>
    <s v="Pago"/>
    <d v="2026-04-14T00:00:00"/>
    <n v="1429.3"/>
    <n v="0"/>
    <n v="0"/>
    <x v="2"/>
  </r>
  <r>
    <d v="2026-03-29T00:00:00"/>
    <s v="NF-10022"/>
    <x v="5"/>
    <s v="Financeiro"/>
    <s v="Serviços"/>
    <n v="615.55999999999995"/>
    <s v="Transferência"/>
    <s v="Fernanda"/>
    <n v="30"/>
    <d v="2026-04-28T00:00:00"/>
    <s v="Pago"/>
    <d v="2026-05-09T00:00:00"/>
    <n v="615.55999999999995"/>
    <n v="0"/>
    <n v="0"/>
    <x v="2"/>
  </r>
  <r>
    <d v="2026-03-30T00:00:00"/>
    <s v="NF-10033"/>
    <x v="11"/>
    <s v="Operações"/>
    <s v="Material de Escritório"/>
    <n v="1151.27"/>
    <s v="PIX"/>
    <s v="Ana"/>
    <n v="30"/>
    <d v="2026-04-29T00:00:00"/>
    <s v="Pago"/>
    <d v="2026-05-06T00:00:00"/>
    <n v="1151.27"/>
    <n v="0"/>
    <n v="0"/>
    <x v="2"/>
  </r>
  <r>
    <d v="2026-03-30T00:00:00"/>
    <s v="NF-10056"/>
    <x v="8"/>
    <s v="Financeiro"/>
    <s v="Consultoria"/>
    <n v="1250.2"/>
    <s v="Transferência"/>
    <s v="Lucas"/>
    <n v="45"/>
    <d v="2026-05-14T00:00:00"/>
    <s v="Em atraso"/>
    <m/>
    <n v="0"/>
    <n v="1250.2"/>
    <n v="102"/>
    <x v="2"/>
  </r>
  <r>
    <d v="2026-03-30T00:00:00"/>
    <s v="NF-10517"/>
    <x v="3"/>
    <s v="Comercial"/>
    <s v="Material de Escritório"/>
    <n v="1062.4100000000001"/>
    <s v="Boleto"/>
    <s v="Lucas"/>
    <n v="45"/>
    <d v="2026-05-14T00:00:00"/>
    <s v="Em aberto"/>
    <m/>
    <n v="0"/>
    <n v="1062.4100000000001"/>
    <n v="0"/>
    <x v="2"/>
  </r>
  <r>
    <d v="2026-03-30T00:00:00"/>
    <s v="NF-10111"/>
    <x v="2"/>
    <s v="Financeiro"/>
    <s v="Material de Escritório"/>
    <n v="1252.83"/>
    <s v="Boleto"/>
    <s v="Bruno"/>
    <n v="7"/>
    <d v="2026-04-06T00:00:00"/>
    <s v="Pago"/>
    <d v="2026-04-15T00:00:00"/>
    <n v="1252.83"/>
    <n v="0"/>
    <n v="0"/>
    <x v="2"/>
  </r>
  <r>
    <d v="2026-03-31T00:00:00"/>
    <s v="NF-10501"/>
    <x v="9"/>
    <s v="Financeiro"/>
    <s v="Software"/>
    <n v="1332.72"/>
    <s v="PIX"/>
    <s v="Ana"/>
    <n v="30"/>
    <d v="2026-04-30T00:00:00"/>
    <s v="Em atraso"/>
    <m/>
    <n v="0"/>
    <n v="1332.72"/>
    <n v="116"/>
    <x v="2"/>
  </r>
  <r>
    <d v="2026-03-31T00:00:00"/>
    <s v="NF-10271"/>
    <x v="6"/>
    <s v="Administrativo"/>
    <s v="Material de Escritório"/>
    <n v="919.18"/>
    <s v="PIX"/>
    <s v="Ana"/>
    <n v="7"/>
    <d v="2026-04-07T00:00:00"/>
    <s v="Pago"/>
    <d v="2026-04-10T00:00:00"/>
    <n v="919.18"/>
    <n v="0"/>
    <n v="0"/>
    <x v="2"/>
  </r>
  <r>
    <d v="2026-03-31T00:00:00"/>
    <s v="NF-10596"/>
    <x v="9"/>
    <s v="Administrativo"/>
    <s v="Equipamentos"/>
    <n v="1915.17"/>
    <s v="PIX"/>
    <s v="Lucas"/>
    <n v="15"/>
    <d v="2026-04-15T00:00:00"/>
    <s v="Pago"/>
    <d v="2026-04-17T00:00:00"/>
    <n v="1915.17"/>
    <n v="0"/>
    <n v="0"/>
    <x v="2"/>
  </r>
  <r>
    <d v="2026-03-31T00:00:00"/>
    <s v="NF-10155"/>
    <x v="6"/>
    <s v="Administrativo"/>
    <s v="Equipamentos"/>
    <n v="1370.38"/>
    <s v="PIX"/>
    <s v="Lucas"/>
    <n v="30"/>
    <d v="2026-04-30T00:00:00"/>
    <s v="Pago"/>
    <d v="2026-04-30T00:00:00"/>
    <n v="1370.38"/>
    <n v="0"/>
    <n v="0"/>
    <x v="2"/>
  </r>
  <r>
    <d v="2026-03-31T00:00:00"/>
    <s v="NF-10060"/>
    <x v="1"/>
    <s v="Financeiro"/>
    <s v="Consultoria"/>
    <n v="3701.26"/>
    <s v="Boleto"/>
    <s v="Camila"/>
    <n v="30"/>
    <d v="2026-04-30T00:00:00"/>
    <s v="Pago"/>
    <d v="2026-04-30T00:00:00"/>
    <n v="3701.26"/>
    <n v="0"/>
    <n v="0"/>
    <x v="2"/>
  </r>
  <r>
    <d v="2026-03-31T00:00:00"/>
    <s v="NF-10294"/>
    <x v="7"/>
    <s v="Administrativo"/>
    <s v="Material de Escritório"/>
    <n v="2297.27"/>
    <s v="Boleto"/>
    <s v="Camila"/>
    <n v="45"/>
    <d v="2026-05-15T00:00:00"/>
    <s v="Pago"/>
    <d v="2026-05-19T00:00:00"/>
    <n v="2297.27"/>
    <n v="0"/>
    <n v="0"/>
    <x v="2"/>
  </r>
  <r>
    <d v="2026-04-02T00:00:00"/>
    <s v="NF-10191"/>
    <x v="5"/>
    <s v="Administrativo"/>
    <s v="Consultoria"/>
    <n v="2936.53"/>
    <s v="PIX"/>
    <s v="Lucas"/>
    <n v="7"/>
    <d v="2026-04-09T00:00:00"/>
    <s v="Em aberto"/>
    <m/>
    <n v="0"/>
    <n v="2936.53"/>
    <n v="0"/>
    <x v="3"/>
  </r>
  <r>
    <d v="2026-04-02T00:00:00"/>
    <s v="NF-10447"/>
    <x v="7"/>
    <s v="Operações"/>
    <s v="Software"/>
    <n v="862.88"/>
    <s v="Boleto"/>
    <s v="Bruno"/>
    <n v="30"/>
    <d v="2026-05-02T00:00:00"/>
    <s v="Pago"/>
    <d v="2026-05-07T00:00:00"/>
    <n v="862.88"/>
    <n v="0"/>
    <n v="0"/>
    <x v="3"/>
  </r>
  <r>
    <d v="2026-04-02T00:00:00"/>
    <s v="NF-10064"/>
    <x v="3"/>
    <s v="Financeiro"/>
    <s v="Material de Escritório"/>
    <n v="1730.29"/>
    <s v="Transferência"/>
    <s v="Fernanda"/>
    <n v="45"/>
    <d v="2026-05-17T00:00:00"/>
    <s v="Pago"/>
    <d v="2026-05-25T00:00:00"/>
    <n v="1730.29"/>
    <n v="0"/>
    <n v="0"/>
    <x v="3"/>
  </r>
  <r>
    <d v="2026-04-02T00:00:00"/>
    <s v="NF-10498"/>
    <x v="0"/>
    <s v="Operações"/>
    <s v="Serviços"/>
    <n v="3079.36"/>
    <s v="Boleto"/>
    <s v="Fernanda"/>
    <n v="30"/>
    <d v="2026-05-02T00:00:00"/>
    <s v="Pago"/>
    <d v="2026-05-10T00:00:00"/>
    <n v="3079.36"/>
    <n v="0"/>
    <n v="0"/>
    <x v="3"/>
  </r>
  <r>
    <d v="2026-04-03T00:00:00"/>
    <s v="NF-10328"/>
    <x v="7"/>
    <s v="Comercial"/>
    <s v="Serviços"/>
    <n v="893.06"/>
    <s v="Cartão"/>
    <s v="Ana"/>
    <n v="7"/>
    <d v="2026-04-10T00:00:00"/>
    <s v="Pago"/>
    <d v="2026-04-17T00:00:00"/>
    <n v="893.06"/>
    <n v="0"/>
    <n v="0"/>
    <x v="3"/>
  </r>
  <r>
    <d v="2026-04-03T00:00:00"/>
    <s v="NF-10391"/>
    <x v="11"/>
    <s v="Comercial"/>
    <s v="Equipamentos"/>
    <n v="2431.84"/>
    <s v="Cartão"/>
    <s v="Fernanda"/>
    <n v="15"/>
    <d v="2026-04-18T00:00:00"/>
    <s v="Pago"/>
    <d v="2026-04-19T00:00:00"/>
    <n v="2431.84"/>
    <n v="0"/>
    <n v="0"/>
    <x v="3"/>
  </r>
  <r>
    <d v="2026-04-03T00:00:00"/>
    <s v="NF-10265"/>
    <x v="1"/>
    <s v="Financeiro"/>
    <s v="Software"/>
    <n v="1627.99"/>
    <s v="Boleto"/>
    <s v="Fernanda"/>
    <n v="15"/>
    <d v="2026-04-18T00:00:00"/>
    <s v="Pago"/>
    <d v="2026-04-19T00:00:00"/>
    <n v="1627.99"/>
    <n v="0"/>
    <n v="0"/>
    <x v="3"/>
  </r>
  <r>
    <d v="2026-04-03T00:00:00"/>
    <s v="NF-10002"/>
    <x v="0"/>
    <s v="Administrativo"/>
    <s v="Consultoria"/>
    <n v="1535.9"/>
    <s v="Transferência"/>
    <s v="Ana"/>
    <n v="30"/>
    <d v="2026-05-03T00:00:00"/>
    <s v="Pago"/>
    <d v="2026-05-05T00:00:00"/>
    <n v="1535.9"/>
    <n v="0"/>
    <n v="0"/>
    <x v="3"/>
  </r>
  <r>
    <d v="2026-04-03T00:00:00"/>
    <s v="NF-10598"/>
    <x v="9"/>
    <s v="Administrativo"/>
    <s v="Serviços"/>
    <n v="918.77"/>
    <s v="PIX"/>
    <s v="Ana"/>
    <n v="45"/>
    <d v="2026-05-18T00:00:00"/>
    <s v="Pago"/>
    <d v="2026-05-27T00:00:00"/>
    <n v="918.77"/>
    <n v="0"/>
    <n v="0"/>
    <x v="3"/>
  </r>
  <r>
    <d v="2026-04-03T00:00:00"/>
    <s v="NF-10526"/>
    <x v="7"/>
    <s v="Operações"/>
    <s v="Software"/>
    <n v="717.74"/>
    <s v="Boleto"/>
    <s v="Bruno"/>
    <n v="7"/>
    <d v="2026-04-10T00:00:00"/>
    <s v="Pago"/>
    <d v="2026-04-10T00:00:00"/>
    <n v="717.74"/>
    <n v="0"/>
    <n v="0"/>
    <x v="3"/>
  </r>
  <r>
    <d v="2026-04-04T00:00:00"/>
    <s v="NF-10538"/>
    <x v="2"/>
    <s v="Financeiro"/>
    <s v="Software"/>
    <n v="2534.7600000000002"/>
    <s v="Transferência"/>
    <s v="Diego"/>
    <n v="7"/>
    <d v="2026-04-11T00:00:00"/>
    <s v="Pago"/>
    <d v="2026-04-18T00:00:00"/>
    <n v="2534.7600000000002"/>
    <n v="0"/>
    <n v="0"/>
    <x v="3"/>
  </r>
  <r>
    <d v="2026-04-04T00:00:00"/>
    <s v="NF-10481"/>
    <x v="5"/>
    <s v="Comercial"/>
    <s v="Serviços"/>
    <n v="2048.6"/>
    <s v="Boleto"/>
    <s v="Camila"/>
    <n v="30"/>
    <d v="2026-05-04T00:00:00"/>
    <s v="Pago"/>
    <d v="2026-05-11T00:00:00"/>
    <n v="2048.6"/>
    <n v="0"/>
    <n v="0"/>
    <x v="3"/>
  </r>
  <r>
    <d v="2026-04-05T00:00:00"/>
    <s v="NF-10591"/>
    <x v="4"/>
    <s v="Comercial"/>
    <s v="Serviços"/>
    <n v="1672.58"/>
    <s v="Boleto"/>
    <s v="Lucas"/>
    <n v="45"/>
    <d v="2026-05-20T00:00:00"/>
    <s v="Pago"/>
    <d v="2026-05-24T00:00:00"/>
    <n v="1672.58"/>
    <n v="0"/>
    <n v="0"/>
    <x v="3"/>
  </r>
  <r>
    <d v="2026-04-05T00:00:00"/>
    <s v="NF-10091"/>
    <x v="6"/>
    <s v="Administrativo"/>
    <s v="Consultoria"/>
    <n v="571.12"/>
    <s v="Cartão"/>
    <s v="Fernanda"/>
    <n v="45"/>
    <d v="2026-05-20T00:00:00"/>
    <s v="Pago"/>
    <d v="2026-05-28T00:00:00"/>
    <n v="571.12"/>
    <n v="0"/>
    <n v="0"/>
    <x v="3"/>
  </r>
  <r>
    <d v="2026-04-05T00:00:00"/>
    <s v="NF-10394"/>
    <x v="8"/>
    <s v="Comercial"/>
    <s v="Serviços"/>
    <n v="1186.81"/>
    <s v="Cartão"/>
    <s v="Ana"/>
    <n v="30"/>
    <d v="2026-05-05T00:00:00"/>
    <s v="Pago"/>
    <d v="2026-05-12T00:00:00"/>
    <n v="1186.81"/>
    <n v="0"/>
    <n v="0"/>
    <x v="3"/>
  </r>
  <r>
    <d v="2026-04-06T00:00:00"/>
    <s v="NF-10275"/>
    <x v="3"/>
    <s v="Operações"/>
    <s v="Consultoria"/>
    <n v="1048.1400000000001"/>
    <s v="PIX"/>
    <s v="Camila"/>
    <n v="15"/>
    <d v="2026-04-21T00:00:00"/>
    <s v="Pago"/>
    <d v="2026-04-24T00:00:00"/>
    <n v="1048.1400000000001"/>
    <n v="0"/>
    <n v="0"/>
    <x v="3"/>
  </r>
  <r>
    <d v="2026-04-06T00:00:00"/>
    <s v="NF-10215"/>
    <x v="3"/>
    <s v="Comercial"/>
    <s v="Material de Escritório"/>
    <n v="1937.2"/>
    <s v="Transferência"/>
    <s v="Ana"/>
    <n v="30"/>
    <d v="2026-05-06T00:00:00"/>
    <s v="Pago"/>
    <d v="2026-05-14T00:00:00"/>
    <n v="1937.2"/>
    <n v="0"/>
    <n v="0"/>
    <x v="3"/>
  </r>
  <r>
    <d v="2026-04-06T00:00:00"/>
    <s v="NF-10558"/>
    <x v="11"/>
    <s v="Financeiro"/>
    <s v="Software"/>
    <n v="5084.28"/>
    <s v="PIX"/>
    <s v="Diego"/>
    <n v="7"/>
    <d v="2026-04-13T00:00:00"/>
    <s v="Em atraso"/>
    <m/>
    <n v="0"/>
    <n v="5084.28"/>
    <n v="133"/>
    <x v="3"/>
  </r>
  <r>
    <d v="2026-04-06T00:00:00"/>
    <s v="NF-10513"/>
    <x v="3"/>
    <s v="Operações"/>
    <s v="Material de Escritório"/>
    <n v="2589.37"/>
    <s v="Transferência"/>
    <s v="Ana"/>
    <n v="45"/>
    <d v="2026-05-21T00:00:00"/>
    <s v="Pago"/>
    <d v="2026-05-22T00:00:00"/>
    <n v="2589.37"/>
    <n v="0"/>
    <n v="0"/>
    <x v="3"/>
  </r>
  <r>
    <d v="2026-04-06T00:00:00"/>
    <s v="NF-10163"/>
    <x v="6"/>
    <s v="Operações"/>
    <s v="Serviços"/>
    <n v="1009.41"/>
    <s v="Cartão"/>
    <s v="Lucas"/>
    <n v="15"/>
    <d v="2026-04-21T00:00:00"/>
    <s v="Em atraso"/>
    <m/>
    <n v="0"/>
    <n v="1009.41"/>
    <n v="125"/>
    <x v="3"/>
  </r>
  <r>
    <d v="2026-04-06T00:00:00"/>
    <s v="NF-10161"/>
    <x v="2"/>
    <s v="Financeiro"/>
    <s v="Consultoria"/>
    <n v="2468.11"/>
    <s v="PIX"/>
    <s v="Fernanda"/>
    <n v="30"/>
    <d v="2026-05-06T00:00:00"/>
    <s v="Pago"/>
    <d v="2026-05-08T00:00:00"/>
    <n v="2468.11"/>
    <n v="0"/>
    <n v="0"/>
    <x v="3"/>
  </r>
  <r>
    <d v="2026-04-07T00:00:00"/>
    <s v="NF-10369"/>
    <x v="7"/>
    <s v="Administrativo"/>
    <s v="Serviços"/>
    <n v="612.01"/>
    <s v="Cartão"/>
    <s v="Camila"/>
    <n v="15"/>
    <d v="2026-04-22T00:00:00"/>
    <s v="Pago"/>
    <d v="2026-05-01T00:00:00"/>
    <n v="612.01"/>
    <n v="0"/>
    <n v="0"/>
    <x v="3"/>
  </r>
  <r>
    <d v="2026-04-07T00:00:00"/>
    <s v="NF-10259"/>
    <x v="0"/>
    <s v="Financeiro"/>
    <s v="Serviços"/>
    <n v="1047.5899999999999"/>
    <s v="PIX"/>
    <s v="Fernanda"/>
    <n v="15"/>
    <d v="2026-04-22T00:00:00"/>
    <s v="Em atraso"/>
    <m/>
    <n v="0"/>
    <n v="1047.5899999999999"/>
    <n v="124"/>
    <x v="3"/>
  </r>
  <r>
    <d v="2026-04-08T00:00:00"/>
    <s v="NF-10448"/>
    <x v="3"/>
    <s v="Comercial"/>
    <s v="Equipamentos"/>
    <n v="1010.68"/>
    <s v="PIX"/>
    <s v="Camila"/>
    <n v="45"/>
    <d v="2026-05-23T00:00:00"/>
    <s v="Em aberto"/>
    <m/>
    <n v="0"/>
    <n v="1010.68"/>
    <n v="0"/>
    <x v="3"/>
  </r>
  <r>
    <d v="2026-04-08T00:00:00"/>
    <s v="NF-10255"/>
    <x v="7"/>
    <s v="Administrativo"/>
    <s v="Consultoria"/>
    <n v="1624.98"/>
    <s v="Boleto"/>
    <s v="Camila"/>
    <n v="45"/>
    <d v="2026-05-23T00:00:00"/>
    <s v="Pago"/>
    <d v="2026-05-25T00:00:00"/>
    <n v="1624.98"/>
    <n v="0"/>
    <n v="0"/>
    <x v="3"/>
  </r>
  <r>
    <d v="2026-04-09T00:00:00"/>
    <s v="NF-10306"/>
    <x v="5"/>
    <s v="Financeiro"/>
    <s v="Equipamentos"/>
    <n v="1685.31"/>
    <s v="PIX"/>
    <s v="Diego"/>
    <n v="7"/>
    <d v="2026-04-16T00:00:00"/>
    <s v="Pago"/>
    <d v="2026-04-20T00:00:00"/>
    <n v="1685.31"/>
    <n v="0"/>
    <n v="0"/>
    <x v="3"/>
  </r>
  <r>
    <d v="2026-04-09T00:00:00"/>
    <s v="NF-10326"/>
    <x v="7"/>
    <s v="Operações"/>
    <s v="Consultoria"/>
    <n v="1685.11"/>
    <s v="PIX"/>
    <s v="Camila"/>
    <n v="30"/>
    <d v="2026-05-09T00:00:00"/>
    <s v="Em aberto"/>
    <m/>
    <n v="0"/>
    <n v="1685.11"/>
    <n v="0"/>
    <x v="3"/>
  </r>
  <r>
    <d v="2026-04-09T00:00:00"/>
    <s v="NF-10429"/>
    <x v="10"/>
    <s v="Operações"/>
    <s v="Software"/>
    <n v="521.58000000000004"/>
    <s v="Cartão"/>
    <s v="Lucas"/>
    <n v="30"/>
    <d v="2026-05-09T00:00:00"/>
    <s v="Pago"/>
    <d v="2026-05-10T00:00:00"/>
    <n v="521.58000000000004"/>
    <n v="0"/>
    <n v="0"/>
    <x v="3"/>
  </r>
  <r>
    <d v="2026-04-09T00:00:00"/>
    <s v="NF-10483"/>
    <x v="10"/>
    <s v="Comercial"/>
    <s v="Consultoria"/>
    <n v="1069.22"/>
    <s v="PIX"/>
    <s v="Bruno"/>
    <n v="7"/>
    <d v="2026-04-16T00:00:00"/>
    <s v="Pago"/>
    <d v="2026-04-16T00:00:00"/>
    <n v="1069.22"/>
    <n v="0"/>
    <n v="0"/>
    <x v="3"/>
  </r>
  <r>
    <d v="2026-04-09T00:00:00"/>
    <s v="NF-10291"/>
    <x v="6"/>
    <s v="Administrativo"/>
    <s v="Material de Escritório"/>
    <n v="1162"/>
    <s v="Cartão"/>
    <s v="Camila"/>
    <n v="15"/>
    <d v="2026-04-24T00:00:00"/>
    <s v="Em aberto"/>
    <m/>
    <n v="0"/>
    <n v="1162"/>
    <n v="0"/>
    <x v="3"/>
  </r>
  <r>
    <d v="2026-04-09T00:00:00"/>
    <s v="NF-10138"/>
    <x v="10"/>
    <s v="Operações"/>
    <s v="Material de Escritório"/>
    <n v="671.14"/>
    <s v="Boleto"/>
    <s v="Diego"/>
    <n v="30"/>
    <d v="2026-05-09T00:00:00"/>
    <s v="Pago"/>
    <d v="2026-05-12T00:00:00"/>
    <n v="671.14"/>
    <n v="0"/>
    <n v="0"/>
    <x v="3"/>
  </r>
  <r>
    <d v="2026-04-09T00:00:00"/>
    <s v="NF-10395"/>
    <x v="11"/>
    <s v="Comercial"/>
    <s v="Serviços"/>
    <n v="812.69"/>
    <s v="Cartão"/>
    <s v="Fernanda"/>
    <n v="30"/>
    <d v="2026-05-09T00:00:00"/>
    <s v="Em aberto"/>
    <m/>
    <n v="0"/>
    <n v="812.69"/>
    <n v="0"/>
    <x v="3"/>
  </r>
  <r>
    <d v="2026-04-09T00:00:00"/>
    <s v="NF-10387"/>
    <x v="10"/>
    <s v="Comercial"/>
    <s v="Equipamentos"/>
    <n v="666.02"/>
    <s v="PIX"/>
    <s v="Ana"/>
    <n v="30"/>
    <d v="2026-05-09T00:00:00"/>
    <s v="Em aberto"/>
    <m/>
    <n v="0"/>
    <n v="666.02"/>
    <n v="0"/>
    <x v="3"/>
  </r>
  <r>
    <d v="2026-04-10T00:00:00"/>
    <s v="NF-10546"/>
    <x v="7"/>
    <s v="Financeiro"/>
    <s v="Equipamentos"/>
    <n v="1392.3"/>
    <s v="Boleto"/>
    <s v="Ana"/>
    <n v="7"/>
    <d v="2026-04-17T00:00:00"/>
    <s v="Em aberto"/>
    <m/>
    <n v="0"/>
    <n v="1392.3"/>
    <n v="0"/>
    <x v="3"/>
  </r>
  <r>
    <d v="2026-04-10T00:00:00"/>
    <s v="NF-10552"/>
    <x v="5"/>
    <s v="Financeiro"/>
    <s v="Serviços"/>
    <n v="848.86"/>
    <s v="Transferência"/>
    <s v="Diego"/>
    <n v="7"/>
    <d v="2026-04-17T00:00:00"/>
    <s v="Pago"/>
    <d v="2026-04-18T00:00:00"/>
    <n v="848.86"/>
    <n v="0"/>
    <n v="0"/>
    <x v="3"/>
  </r>
  <r>
    <d v="2026-04-10T00:00:00"/>
    <s v="NF-10015"/>
    <x v="6"/>
    <s v="Comercial"/>
    <s v="Material de Escritório"/>
    <n v="1056.9000000000001"/>
    <s v="PIX"/>
    <s v="Fernanda"/>
    <n v="7"/>
    <d v="2026-04-17T00:00:00"/>
    <s v="Pago"/>
    <d v="2026-04-23T00:00:00"/>
    <n v="1056.9000000000001"/>
    <n v="0"/>
    <n v="0"/>
    <x v="3"/>
  </r>
  <r>
    <d v="2026-04-11T00:00:00"/>
    <s v="NF-10226"/>
    <x v="5"/>
    <s v="Administrativo"/>
    <s v="Equipamentos"/>
    <n v="904.86"/>
    <s v="Cartão"/>
    <s v="Lucas"/>
    <n v="45"/>
    <d v="2026-05-26T00:00:00"/>
    <s v="Pago"/>
    <d v="2026-06-04T00:00:00"/>
    <n v="904.86"/>
    <n v="0"/>
    <n v="0"/>
    <x v="3"/>
  </r>
  <r>
    <d v="2026-04-11T00:00:00"/>
    <s v="NF-10143"/>
    <x v="3"/>
    <s v="Comercial"/>
    <s v="Serviços"/>
    <n v="1921.76"/>
    <s v="Cartão"/>
    <s v="Diego"/>
    <n v="45"/>
    <d v="2026-05-26T00:00:00"/>
    <s v="Pago"/>
    <d v="2026-06-06T00:00:00"/>
    <n v="1921.76"/>
    <n v="0"/>
    <n v="0"/>
    <x v="3"/>
  </r>
  <r>
    <d v="2026-04-11T00:00:00"/>
    <s v="NF-10579"/>
    <x v="10"/>
    <s v="Comercial"/>
    <s v="Serviços"/>
    <n v="1196.28"/>
    <s v="Cartão"/>
    <s v="Diego"/>
    <n v="30"/>
    <d v="2026-05-11T00:00:00"/>
    <s v="Pago"/>
    <d v="2026-05-22T00:00:00"/>
    <n v="1196.28"/>
    <n v="0"/>
    <n v="0"/>
    <x v="3"/>
  </r>
  <r>
    <d v="2026-04-11T00:00:00"/>
    <s v="NF-10548"/>
    <x v="11"/>
    <s v="Administrativo"/>
    <s v="Material de Escritório"/>
    <n v="1497.99"/>
    <s v="PIX"/>
    <s v="Fernanda"/>
    <n v="30"/>
    <d v="2026-05-11T00:00:00"/>
    <s v="Pago"/>
    <d v="2026-05-11T00:00:00"/>
    <n v="1497.99"/>
    <n v="0"/>
    <n v="0"/>
    <x v="3"/>
  </r>
  <r>
    <d v="2026-04-11T00:00:00"/>
    <s v="NF-10470"/>
    <x v="3"/>
    <s v="Administrativo"/>
    <s v="Consultoria"/>
    <n v="1800.45"/>
    <s v="Transferência"/>
    <s v="Ana"/>
    <n v="15"/>
    <d v="2026-04-26T00:00:00"/>
    <s v="Em aberto"/>
    <m/>
    <n v="0"/>
    <n v="1800.45"/>
    <n v="0"/>
    <x v="3"/>
  </r>
  <r>
    <d v="2026-04-13T00:00:00"/>
    <s v="NF-10008"/>
    <x v="3"/>
    <s v="Financeiro"/>
    <s v="Material de Escritório"/>
    <n v="1630.3"/>
    <s v="Boleto"/>
    <s v="Bruno"/>
    <n v="30"/>
    <d v="2026-05-13T00:00:00"/>
    <s v="Pago"/>
    <d v="2026-05-21T00:00:00"/>
    <n v="1630.3"/>
    <n v="0"/>
    <n v="0"/>
    <x v="3"/>
  </r>
  <r>
    <d v="2026-04-13T00:00:00"/>
    <s v="NF-10000"/>
    <x v="8"/>
    <s v="Administrativo"/>
    <s v="Material de Escritório"/>
    <n v="960.6"/>
    <s v="PIX"/>
    <s v="Camila"/>
    <n v="30"/>
    <d v="2026-05-13T00:00:00"/>
    <s v="Pago"/>
    <d v="2026-05-19T00:00:00"/>
    <n v="960.6"/>
    <n v="0"/>
    <n v="0"/>
    <x v="3"/>
  </r>
  <r>
    <d v="2026-04-13T00:00:00"/>
    <s v="NF-10201"/>
    <x v="0"/>
    <s v="Administrativo"/>
    <s v="Equipamentos"/>
    <n v="2458.4899999999998"/>
    <s v="Boleto"/>
    <s v="Camila"/>
    <n v="30"/>
    <d v="2026-05-13T00:00:00"/>
    <s v="Pago"/>
    <d v="2026-05-16T00:00:00"/>
    <n v="2458.4899999999998"/>
    <n v="0"/>
    <n v="0"/>
    <x v="3"/>
  </r>
  <r>
    <d v="2026-04-13T00:00:00"/>
    <s v="NF-10150"/>
    <x v="2"/>
    <s v="Comercial"/>
    <s v="Material de Escritório"/>
    <n v="902.55"/>
    <s v="Cartão"/>
    <s v="Bruno"/>
    <n v="7"/>
    <d v="2026-04-20T00:00:00"/>
    <s v="Pago"/>
    <d v="2026-04-22T00:00:00"/>
    <n v="902.55"/>
    <n v="0"/>
    <n v="0"/>
    <x v="3"/>
  </r>
  <r>
    <d v="2026-04-13T00:00:00"/>
    <s v="NF-10476"/>
    <x v="9"/>
    <s v="Comercial"/>
    <s v="Serviços"/>
    <n v="861.74"/>
    <s v="Cartão"/>
    <s v="Fernanda"/>
    <n v="30"/>
    <d v="2026-05-13T00:00:00"/>
    <s v="Pago"/>
    <d v="2026-05-20T00:00:00"/>
    <n v="861.74"/>
    <n v="0"/>
    <n v="0"/>
    <x v="3"/>
  </r>
  <r>
    <d v="2026-04-14T00:00:00"/>
    <s v="NF-10323"/>
    <x v="10"/>
    <s v="Comercial"/>
    <s v="Software"/>
    <n v="966.14"/>
    <s v="PIX"/>
    <s v="Diego"/>
    <n v="30"/>
    <d v="2026-05-14T00:00:00"/>
    <s v="Pago"/>
    <d v="2026-05-19T00:00:00"/>
    <n v="966.14"/>
    <n v="0"/>
    <n v="0"/>
    <x v="3"/>
  </r>
  <r>
    <d v="2026-04-14T00:00:00"/>
    <s v="NF-10016"/>
    <x v="9"/>
    <s v="Financeiro"/>
    <s v="Software"/>
    <n v="781.72"/>
    <s v="Transferência"/>
    <s v="Lucas"/>
    <n v="30"/>
    <d v="2026-05-14T00:00:00"/>
    <s v="Pago"/>
    <d v="2026-05-23T00:00:00"/>
    <n v="781.72"/>
    <n v="0"/>
    <n v="0"/>
    <x v="3"/>
  </r>
  <r>
    <d v="2026-04-14T00:00:00"/>
    <s v="NF-10283"/>
    <x v="10"/>
    <s v="Comercial"/>
    <s v="Software"/>
    <n v="5099.79"/>
    <s v="Transferência"/>
    <s v="Diego"/>
    <n v="45"/>
    <d v="2026-05-29T00:00:00"/>
    <s v="Pago"/>
    <d v="2026-06-03T00:00:00"/>
    <n v="5099.79"/>
    <n v="0"/>
    <n v="0"/>
    <x v="3"/>
  </r>
  <r>
    <d v="2026-04-14T00:00:00"/>
    <s v="NF-10421"/>
    <x v="3"/>
    <s v="Operações"/>
    <s v="Consultoria"/>
    <n v="3172.02"/>
    <s v="Transferência"/>
    <s v="Fernanda"/>
    <n v="15"/>
    <d v="2026-04-29T00:00:00"/>
    <s v="Pago"/>
    <d v="2026-05-02T00:00:00"/>
    <n v="3172.02"/>
    <n v="0"/>
    <n v="0"/>
    <x v="3"/>
  </r>
  <r>
    <d v="2026-04-14T00:00:00"/>
    <s v="NF-10076"/>
    <x v="2"/>
    <s v="Comercial"/>
    <s v="Consultoria"/>
    <n v="6857.27"/>
    <s v="Boleto"/>
    <s v="Bruno"/>
    <n v="15"/>
    <d v="2026-04-29T00:00:00"/>
    <s v="Pago"/>
    <d v="2026-05-06T00:00:00"/>
    <n v="6857.27"/>
    <n v="0"/>
    <n v="0"/>
    <x v="3"/>
  </r>
  <r>
    <d v="2026-04-14T00:00:00"/>
    <s v="NF-10408"/>
    <x v="2"/>
    <s v="Administrativo"/>
    <s v="Material de Escritório"/>
    <n v="3541.85"/>
    <s v="Boleto"/>
    <s v="Lucas"/>
    <n v="7"/>
    <d v="2026-04-21T00:00:00"/>
    <s v="Pago"/>
    <d v="2026-04-30T00:00:00"/>
    <n v="3541.85"/>
    <n v="0"/>
    <n v="0"/>
    <x v="3"/>
  </r>
  <r>
    <d v="2026-04-14T00:00:00"/>
    <s v="NF-10140"/>
    <x v="10"/>
    <s v="Financeiro"/>
    <s v="Consultoria"/>
    <n v="1132.3399999999999"/>
    <s v="Transferência"/>
    <s v="Camila"/>
    <n v="15"/>
    <d v="2026-04-29T00:00:00"/>
    <s v="Pago"/>
    <d v="2026-05-07T00:00:00"/>
    <n v="1132.3399999999999"/>
    <n v="0"/>
    <n v="0"/>
    <x v="3"/>
  </r>
  <r>
    <d v="2026-04-16T00:00:00"/>
    <s v="NF-10081"/>
    <x v="1"/>
    <s v="Administrativo"/>
    <s v="Software"/>
    <n v="531.85"/>
    <s v="Cartão"/>
    <s v="Diego"/>
    <n v="30"/>
    <d v="2026-05-16T00:00:00"/>
    <s v="Pago"/>
    <d v="2026-05-20T00:00:00"/>
    <n v="531.85"/>
    <n v="0"/>
    <n v="0"/>
    <x v="3"/>
  </r>
  <r>
    <d v="2026-04-16T00:00:00"/>
    <s v="NF-10491"/>
    <x v="0"/>
    <s v="Administrativo"/>
    <s v="Equipamentos"/>
    <n v="1512.96"/>
    <s v="PIX"/>
    <s v="Ana"/>
    <n v="30"/>
    <d v="2026-05-16T00:00:00"/>
    <s v="Em aberto"/>
    <m/>
    <n v="0"/>
    <n v="1512.96"/>
    <n v="0"/>
    <x v="3"/>
  </r>
  <r>
    <d v="2026-04-17T00:00:00"/>
    <s v="NF-10004"/>
    <x v="6"/>
    <s v="Financeiro"/>
    <s v="Software"/>
    <n v="1087.3499999999999"/>
    <s v="Boleto"/>
    <s v="Lucas"/>
    <n v="7"/>
    <d v="2026-04-24T00:00:00"/>
    <s v="Pago"/>
    <d v="2026-05-03T00:00:00"/>
    <n v="1087.3499999999999"/>
    <n v="0"/>
    <n v="0"/>
    <x v="3"/>
  </r>
  <r>
    <d v="2026-04-18T00:00:00"/>
    <s v="NF-10045"/>
    <x v="5"/>
    <s v="Financeiro"/>
    <s v="Software"/>
    <n v="2897.43"/>
    <s v="PIX"/>
    <s v="Fernanda"/>
    <n v="30"/>
    <d v="2026-05-18T00:00:00"/>
    <s v="Pago"/>
    <d v="2026-05-21T00:00:00"/>
    <n v="2897.43"/>
    <n v="0"/>
    <n v="0"/>
    <x v="3"/>
  </r>
  <r>
    <d v="2026-04-18T00:00:00"/>
    <s v="NF-10474"/>
    <x v="9"/>
    <s v="Operações"/>
    <s v="Consultoria"/>
    <n v="910.06"/>
    <s v="Cartão"/>
    <s v="Ana"/>
    <n v="30"/>
    <d v="2026-05-18T00:00:00"/>
    <s v="Em aberto"/>
    <m/>
    <n v="0"/>
    <n v="910.06"/>
    <n v="0"/>
    <x v="3"/>
  </r>
  <r>
    <d v="2026-04-18T00:00:00"/>
    <s v="NF-10184"/>
    <x v="3"/>
    <s v="Administrativo"/>
    <s v="Software"/>
    <n v="4396.6000000000004"/>
    <s v="Transferência"/>
    <s v="Ana"/>
    <n v="30"/>
    <d v="2026-05-18T00:00:00"/>
    <s v="Pago"/>
    <d v="2026-05-18T00:00:00"/>
    <n v="4396.6000000000004"/>
    <n v="0"/>
    <n v="0"/>
    <x v="3"/>
  </r>
  <r>
    <d v="2026-04-19T00:00:00"/>
    <s v="NF-10361"/>
    <x v="5"/>
    <s v="Operações"/>
    <s v="Material de Escritório"/>
    <n v="2207.87"/>
    <s v="PIX"/>
    <s v="Bruno"/>
    <n v="15"/>
    <d v="2026-05-04T00:00:00"/>
    <s v="Em aberto"/>
    <m/>
    <n v="0"/>
    <n v="2207.87"/>
    <n v="0"/>
    <x v="3"/>
  </r>
  <r>
    <d v="2026-04-19T00:00:00"/>
    <s v="NF-10479"/>
    <x v="5"/>
    <s v="Financeiro"/>
    <s v="Consultoria"/>
    <n v="4813.28"/>
    <s v="Transferência"/>
    <s v="Diego"/>
    <n v="15"/>
    <d v="2026-05-04T00:00:00"/>
    <s v="Pago"/>
    <d v="2026-05-12T00:00:00"/>
    <n v="4813.28"/>
    <n v="0"/>
    <n v="0"/>
    <x v="3"/>
  </r>
  <r>
    <d v="2026-04-20T00:00:00"/>
    <s v="NF-10331"/>
    <x v="2"/>
    <s v="Administrativo"/>
    <s v="Material de Escritório"/>
    <n v="987.12"/>
    <s v="Boleto"/>
    <s v="Lucas"/>
    <n v="45"/>
    <d v="2026-06-04T00:00:00"/>
    <s v="Em aberto"/>
    <m/>
    <n v="0"/>
    <n v="987.12"/>
    <n v="0"/>
    <x v="3"/>
  </r>
  <r>
    <d v="2026-04-21T00:00:00"/>
    <s v="NF-10065"/>
    <x v="9"/>
    <s v="Comercial"/>
    <s v="Equipamentos"/>
    <n v="758.42"/>
    <s v="Boleto"/>
    <s v="Camila"/>
    <n v="15"/>
    <d v="2026-05-06T00:00:00"/>
    <s v="Pago"/>
    <d v="2026-05-10T00:00:00"/>
    <n v="758.42"/>
    <n v="0"/>
    <n v="0"/>
    <x v="3"/>
  </r>
  <r>
    <d v="2026-04-21T00:00:00"/>
    <s v="NF-10100"/>
    <x v="7"/>
    <s v="Operações"/>
    <s v="Serviços"/>
    <n v="1631.83"/>
    <s v="Cartão"/>
    <s v="Camila"/>
    <n v="30"/>
    <d v="2026-05-21T00:00:00"/>
    <s v="Pago"/>
    <d v="2026-05-30T00:00:00"/>
    <n v="1631.83"/>
    <n v="0"/>
    <n v="0"/>
    <x v="3"/>
  </r>
  <r>
    <d v="2026-04-21T00:00:00"/>
    <s v="NF-10371"/>
    <x v="8"/>
    <s v="Financeiro"/>
    <s v="Equipamentos"/>
    <n v="2712.53"/>
    <s v="PIX"/>
    <s v="Camila"/>
    <n v="15"/>
    <d v="2026-05-06T00:00:00"/>
    <s v="Pago"/>
    <d v="2026-05-11T00:00:00"/>
    <n v="2712.53"/>
    <n v="0"/>
    <n v="0"/>
    <x v="3"/>
  </r>
  <r>
    <d v="2026-04-22T00:00:00"/>
    <s v="NF-10295"/>
    <x v="1"/>
    <s v="Comercial"/>
    <s v="Material de Escritório"/>
    <n v="935.1"/>
    <s v="Boleto"/>
    <s v="Camila"/>
    <n v="7"/>
    <d v="2026-04-29T00:00:00"/>
    <s v="Em atraso"/>
    <m/>
    <n v="0"/>
    <n v="935.1"/>
    <n v="117"/>
    <x v="3"/>
  </r>
  <r>
    <d v="2026-04-22T00:00:00"/>
    <s v="NF-10325"/>
    <x v="9"/>
    <s v="Operações"/>
    <s v="Consultoria"/>
    <n v="731.38"/>
    <s v="Cartão"/>
    <s v="Ana"/>
    <n v="15"/>
    <d v="2026-05-07T00:00:00"/>
    <s v="Em aberto"/>
    <m/>
    <n v="0"/>
    <n v="731.38"/>
    <n v="0"/>
    <x v="3"/>
  </r>
  <r>
    <d v="2026-04-23T00:00:00"/>
    <s v="NF-10225"/>
    <x v="2"/>
    <s v="Financeiro"/>
    <s v="Serviços"/>
    <n v="1696.47"/>
    <s v="Boleto"/>
    <s v="Bruno"/>
    <n v="15"/>
    <d v="2026-05-08T00:00:00"/>
    <s v="Pago"/>
    <d v="2026-05-19T00:00:00"/>
    <n v="1696.47"/>
    <n v="0"/>
    <n v="0"/>
    <x v="3"/>
  </r>
  <r>
    <d v="2026-04-23T00:00:00"/>
    <s v="NF-10227"/>
    <x v="3"/>
    <s v="Comercial"/>
    <s v="Consultoria"/>
    <n v="1603.74"/>
    <s v="Boleto"/>
    <s v="Ana"/>
    <n v="45"/>
    <d v="2026-06-07T00:00:00"/>
    <s v="Em aberto"/>
    <m/>
    <n v="0"/>
    <n v="1603.74"/>
    <n v="0"/>
    <x v="3"/>
  </r>
  <r>
    <d v="2026-04-23T00:00:00"/>
    <s v="NF-10231"/>
    <x v="5"/>
    <s v="Financeiro"/>
    <s v="Serviços"/>
    <n v="1149.3800000000001"/>
    <s v="PIX"/>
    <s v="Fernanda"/>
    <n v="30"/>
    <d v="2026-05-23T00:00:00"/>
    <s v="Pago"/>
    <d v="2026-05-30T00:00:00"/>
    <n v="1149.3800000000001"/>
    <n v="0"/>
    <n v="0"/>
    <x v="3"/>
  </r>
  <r>
    <d v="2026-04-23T00:00:00"/>
    <s v="NF-10297"/>
    <x v="8"/>
    <s v="Financeiro"/>
    <s v="Material de Escritório"/>
    <n v="3615.63"/>
    <s v="PIX"/>
    <s v="Bruno"/>
    <n v="45"/>
    <d v="2026-06-07T00:00:00"/>
    <s v="Pago"/>
    <d v="2026-06-09T00:00:00"/>
    <n v="3615.63"/>
    <n v="0"/>
    <n v="0"/>
    <x v="3"/>
  </r>
  <r>
    <d v="2026-04-23T00:00:00"/>
    <s v="NF-10217"/>
    <x v="6"/>
    <s v="Comercial"/>
    <s v="Consultoria"/>
    <n v="890.56"/>
    <s v="PIX"/>
    <s v="Lucas"/>
    <n v="30"/>
    <d v="2026-05-23T00:00:00"/>
    <s v="Pago"/>
    <d v="2026-05-25T00:00:00"/>
    <n v="890.56"/>
    <n v="0"/>
    <n v="0"/>
    <x v="3"/>
  </r>
  <r>
    <d v="2026-04-23T00:00:00"/>
    <s v="NF-10319"/>
    <x v="6"/>
    <s v="Operações"/>
    <s v="Serviços"/>
    <n v="1122.72"/>
    <s v="Transferência"/>
    <s v="Lucas"/>
    <n v="30"/>
    <d v="2026-05-23T00:00:00"/>
    <s v="Pago"/>
    <d v="2026-05-31T00:00:00"/>
    <n v="1122.72"/>
    <n v="0"/>
    <n v="0"/>
    <x v="3"/>
  </r>
  <r>
    <d v="2026-04-24T00:00:00"/>
    <s v="NF-10489"/>
    <x v="5"/>
    <s v="Operações"/>
    <s v="Software"/>
    <n v="4715.7"/>
    <s v="Boleto"/>
    <s v="Camila"/>
    <n v="30"/>
    <d v="2026-05-24T00:00:00"/>
    <s v="Pago"/>
    <d v="2026-06-01T00:00:00"/>
    <n v="4715.7"/>
    <n v="0"/>
    <n v="0"/>
    <x v="3"/>
  </r>
  <r>
    <d v="2026-04-24T00:00:00"/>
    <s v="NF-10411"/>
    <x v="9"/>
    <s v="Financeiro"/>
    <s v="Serviços"/>
    <n v="1069.94"/>
    <s v="PIX"/>
    <s v="Bruno"/>
    <n v="30"/>
    <d v="2026-05-24T00:00:00"/>
    <s v="Em aberto"/>
    <m/>
    <n v="0"/>
    <n v="1069.94"/>
    <n v="0"/>
    <x v="3"/>
  </r>
  <r>
    <d v="2026-04-25T00:00:00"/>
    <s v="NF-10356"/>
    <x v="6"/>
    <s v="Financeiro"/>
    <s v="Serviços"/>
    <n v="1284.79"/>
    <s v="PIX"/>
    <s v="Diego"/>
    <n v="30"/>
    <d v="2026-05-25T00:00:00"/>
    <s v="Pago"/>
    <d v="2026-06-05T00:00:00"/>
    <n v="1284.79"/>
    <n v="0"/>
    <n v="0"/>
    <x v="3"/>
  </r>
  <r>
    <d v="2026-04-25T00:00:00"/>
    <s v="NF-10445"/>
    <x v="2"/>
    <s v="Comercial"/>
    <s v="Consultoria"/>
    <n v="414.2"/>
    <s v="Cartão"/>
    <s v="Lucas"/>
    <n v="15"/>
    <d v="2026-05-10T00:00:00"/>
    <s v="Pago"/>
    <d v="2026-05-19T00:00:00"/>
    <n v="414.2"/>
    <n v="0"/>
    <n v="0"/>
    <x v="3"/>
  </r>
  <r>
    <d v="2026-04-26T00:00:00"/>
    <s v="NF-10254"/>
    <x v="1"/>
    <s v="Administrativo"/>
    <s v="Serviços"/>
    <n v="974.66"/>
    <s v="Cartão"/>
    <s v="Ana"/>
    <n v="7"/>
    <d v="2026-05-03T00:00:00"/>
    <s v="Pago"/>
    <d v="2026-05-13T00:00:00"/>
    <n v="974.66"/>
    <n v="0"/>
    <n v="0"/>
    <x v="3"/>
  </r>
  <r>
    <d v="2026-04-26T00:00:00"/>
    <s v="NF-10317"/>
    <x v="4"/>
    <s v="Operações"/>
    <s v="Material de Escritório"/>
    <n v="987.74"/>
    <s v="PIX"/>
    <s v="Bruno"/>
    <n v="45"/>
    <d v="2026-06-10T00:00:00"/>
    <s v="Pago"/>
    <d v="2026-06-17T00:00:00"/>
    <n v="987.74"/>
    <n v="0"/>
    <n v="0"/>
    <x v="3"/>
  </r>
  <r>
    <d v="2026-04-26T00:00:00"/>
    <s v="NF-10480"/>
    <x v="1"/>
    <s v="Financeiro"/>
    <s v="Consultoria"/>
    <n v="1355.88"/>
    <s v="PIX"/>
    <s v="Bruno"/>
    <n v="30"/>
    <d v="2026-05-26T00:00:00"/>
    <s v="Pago"/>
    <d v="2026-06-01T00:00:00"/>
    <n v="1355.88"/>
    <n v="0"/>
    <n v="0"/>
    <x v="3"/>
  </r>
  <r>
    <d v="2026-04-26T00:00:00"/>
    <s v="NF-10198"/>
    <x v="2"/>
    <s v="Comercial"/>
    <s v="Equipamentos"/>
    <n v="1132.97"/>
    <s v="Transferência"/>
    <s v="Bruno"/>
    <n v="15"/>
    <d v="2026-05-11T00:00:00"/>
    <s v="Em aberto"/>
    <m/>
    <n v="0"/>
    <n v="1132.97"/>
    <n v="0"/>
    <x v="3"/>
  </r>
  <r>
    <d v="2026-04-26T00:00:00"/>
    <s v="NF-10397"/>
    <x v="5"/>
    <s v="Comercial"/>
    <s v="Serviços"/>
    <n v="510.17"/>
    <s v="PIX"/>
    <s v="Lucas"/>
    <n v="7"/>
    <d v="2026-05-03T00:00:00"/>
    <s v="Pago"/>
    <d v="2026-05-13T00:00:00"/>
    <n v="510.17"/>
    <n v="0"/>
    <n v="0"/>
    <x v="3"/>
  </r>
  <r>
    <d v="2026-04-27T00:00:00"/>
    <s v="NF-10014"/>
    <x v="3"/>
    <s v="Administrativo"/>
    <s v="Consultoria"/>
    <n v="1217.3699999999999"/>
    <s v="Cartão"/>
    <s v="Camila"/>
    <n v="30"/>
    <d v="2026-05-27T00:00:00"/>
    <s v="Pago"/>
    <d v="2026-06-01T00:00:00"/>
    <n v="1217.3699999999999"/>
    <n v="0"/>
    <n v="0"/>
    <x v="3"/>
  </r>
  <r>
    <d v="2026-04-27T00:00:00"/>
    <s v="NF-10385"/>
    <x v="0"/>
    <s v="Administrativo"/>
    <s v="Material de Escritório"/>
    <n v="1345.37"/>
    <s v="Cartão"/>
    <s v="Camila"/>
    <n v="30"/>
    <d v="2026-05-27T00:00:00"/>
    <s v="Pago"/>
    <d v="2026-06-07T00:00:00"/>
    <n v="1345.37"/>
    <n v="0"/>
    <n v="0"/>
    <x v="3"/>
  </r>
  <r>
    <d v="2026-04-27T00:00:00"/>
    <s v="NF-10518"/>
    <x v="7"/>
    <s v="Operações"/>
    <s v="Material de Escritório"/>
    <n v="898.77"/>
    <s v="PIX"/>
    <s v="Diego"/>
    <n v="30"/>
    <d v="2026-05-27T00:00:00"/>
    <s v="Pago"/>
    <d v="2026-06-03T00:00:00"/>
    <n v="898.77"/>
    <n v="0"/>
    <n v="0"/>
    <x v="3"/>
  </r>
  <r>
    <d v="2026-04-27T00:00:00"/>
    <s v="NF-10502"/>
    <x v="5"/>
    <s v="Comercial"/>
    <s v="Software"/>
    <n v="544.55999999999995"/>
    <s v="Cartão"/>
    <s v="Fernanda"/>
    <n v="30"/>
    <d v="2026-05-27T00:00:00"/>
    <s v="Pago"/>
    <d v="2026-06-05T00:00:00"/>
    <n v="544.55999999999995"/>
    <n v="0"/>
    <n v="0"/>
    <x v="3"/>
  </r>
  <r>
    <d v="2026-04-28T00:00:00"/>
    <s v="NF-10515"/>
    <x v="1"/>
    <s v="Operações"/>
    <s v="Material de Escritório"/>
    <n v="4112.72"/>
    <s v="Transferência"/>
    <s v="Camila"/>
    <n v="30"/>
    <d v="2026-05-28T00:00:00"/>
    <s v="Em aberto"/>
    <m/>
    <n v="0"/>
    <n v="4112.72"/>
    <n v="0"/>
    <x v="3"/>
  </r>
  <r>
    <d v="2026-04-28T00:00:00"/>
    <s v="NF-10213"/>
    <x v="5"/>
    <s v="Financeiro"/>
    <s v="Serviços"/>
    <n v="1086.3800000000001"/>
    <s v="Transferência"/>
    <s v="Ana"/>
    <n v="15"/>
    <d v="2026-05-13T00:00:00"/>
    <s v="Em atraso"/>
    <m/>
    <n v="0"/>
    <n v="1086.3800000000001"/>
    <n v="103"/>
    <x v="3"/>
  </r>
  <r>
    <d v="2026-04-29T00:00:00"/>
    <s v="NF-10357"/>
    <x v="6"/>
    <s v="Comercial"/>
    <s v="Material de Escritório"/>
    <n v="912.62"/>
    <s v="Transferência"/>
    <s v="Bruno"/>
    <n v="15"/>
    <d v="2026-05-14T00:00:00"/>
    <s v="Pago"/>
    <d v="2026-05-20T00:00:00"/>
    <n v="912.62"/>
    <n v="0"/>
    <n v="0"/>
    <x v="3"/>
  </r>
  <r>
    <d v="2026-04-30T00:00:00"/>
    <s v="NF-10314"/>
    <x v="0"/>
    <s v="Financeiro"/>
    <s v="Serviços"/>
    <n v="646.6"/>
    <s v="PIX"/>
    <s v="Camila"/>
    <n v="15"/>
    <d v="2026-05-15T00:00:00"/>
    <s v="Pago"/>
    <d v="2026-05-19T00:00:00"/>
    <n v="646.6"/>
    <n v="0"/>
    <n v="0"/>
    <x v="3"/>
  </r>
  <r>
    <d v="2026-04-30T00:00:00"/>
    <s v="NF-10495"/>
    <x v="11"/>
    <s v="Financeiro"/>
    <s v="Consultoria"/>
    <n v="2492.02"/>
    <s v="PIX"/>
    <s v="Camila"/>
    <n v="15"/>
    <d v="2026-05-15T00:00:00"/>
    <s v="Pago"/>
    <d v="2026-05-24T00:00:00"/>
    <n v="2492.02"/>
    <n v="0"/>
    <n v="0"/>
    <x v="3"/>
  </r>
  <r>
    <d v="2026-05-01T00:00:00"/>
    <s v="NF-10194"/>
    <x v="1"/>
    <s v="Financeiro"/>
    <s v="Consultoria"/>
    <n v="1233.2"/>
    <s v="PIX"/>
    <s v="Lucas"/>
    <n v="30"/>
    <d v="2026-05-31T00:00:00"/>
    <s v="Em aberto"/>
    <m/>
    <n v="0"/>
    <n v="1233.2"/>
    <n v="0"/>
    <x v="4"/>
  </r>
  <r>
    <d v="2026-05-01T00:00:00"/>
    <s v="NF-10197"/>
    <x v="0"/>
    <s v="Operações"/>
    <s v="Software"/>
    <n v="960.05"/>
    <s v="Transferência"/>
    <s v="Fernanda"/>
    <n v="7"/>
    <d v="2026-05-08T00:00:00"/>
    <s v="Pago"/>
    <d v="2026-05-14T00:00:00"/>
    <n v="960.05"/>
    <n v="0"/>
    <n v="0"/>
    <x v="4"/>
  </r>
  <r>
    <d v="2026-05-02T00:00:00"/>
    <s v="NF-10009"/>
    <x v="0"/>
    <s v="Financeiro"/>
    <s v="Material de Escritório"/>
    <n v="455.54"/>
    <s v="Boleto"/>
    <s v="Bruno"/>
    <n v="15"/>
    <d v="2026-05-17T00:00:00"/>
    <s v="Pago"/>
    <d v="2026-05-17T00:00:00"/>
    <n v="455.54"/>
    <n v="0"/>
    <n v="0"/>
    <x v="4"/>
  </r>
  <r>
    <d v="2026-05-02T00:00:00"/>
    <s v="NF-10510"/>
    <x v="11"/>
    <s v="Operações"/>
    <s v="Consultoria"/>
    <n v="3384.15"/>
    <s v="PIX"/>
    <s v="Lucas"/>
    <n v="15"/>
    <d v="2026-05-17T00:00:00"/>
    <s v="Em aberto"/>
    <m/>
    <n v="0"/>
    <n v="3384.15"/>
    <n v="0"/>
    <x v="4"/>
  </r>
  <r>
    <d v="2026-05-03T00:00:00"/>
    <s v="NF-10249"/>
    <x v="9"/>
    <s v="Comercial"/>
    <s v="Serviços"/>
    <n v="4962.53"/>
    <s v="Boleto"/>
    <s v="Fernanda"/>
    <n v="15"/>
    <d v="2026-05-18T00:00:00"/>
    <s v="Pago"/>
    <d v="2026-05-29T00:00:00"/>
    <n v="4962.53"/>
    <n v="0"/>
    <n v="0"/>
    <x v="4"/>
  </r>
  <r>
    <d v="2026-05-03T00:00:00"/>
    <s v="NF-10124"/>
    <x v="9"/>
    <s v="Comercial"/>
    <s v="Material de Escritório"/>
    <n v="1282.74"/>
    <s v="Boleto"/>
    <s v="Ana"/>
    <n v="7"/>
    <d v="2026-05-10T00:00:00"/>
    <s v="Pago"/>
    <d v="2026-05-17T00:00:00"/>
    <n v="1282.74"/>
    <n v="0"/>
    <n v="0"/>
    <x v="4"/>
  </r>
  <r>
    <d v="2026-05-04T00:00:00"/>
    <s v="NF-10105"/>
    <x v="11"/>
    <s v="Financeiro"/>
    <s v="Software"/>
    <n v="2159.61"/>
    <s v="Cartão"/>
    <s v="Lucas"/>
    <n v="15"/>
    <d v="2026-05-19T00:00:00"/>
    <s v="Pago"/>
    <d v="2026-05-20T00:00:00"/>
    <n v="2159.61"/>
    <n v="0"/>
    <n v="0"/>
    <x v="4"/>
  </r>
  <r>
    <d v="2026-05-04T00:00:00"/>
    <s v="NF-10490"/>
    <x v="10"/>
    <s v="Comercial"/>
    <s v="Material de Escritório"/>
    <n v="2169.7199999999998"/>
    <s v="Boleto"/>
    <s v="Diego"/>
    <n v="30"/>
    <d v="2026-06-03T00:00:00"/>
    <s v="Pago"/>
    <d v="2026-06-06T00:00:00"/>
    <n v="2169.7199999999998"/>
    <n v="0"/>
    <n v="0"/>
    <x v="4"/>
  </r>
  <r>
    <d v="2026-05-04T00:00:00"/>
    <s v="NF-10261"/>
    <x v="10"/>
    <s v="Operações"/>
    <s v="Consultoria"/>
    <n v="609.04"/>
    <s v="Transferência"/>
    <s v="Lucas"/>
    <n v="30"/>
    <d v="2026-06-03T00:00:00"/>
    <s v="Pago"/>
    <d v="2026-06-06T00:00:00"/>
    <n v="609.04"/>
    <n v="0"/>
    <n v="0"/>
    <x v="4"/>
  </r>
  <r>
    <d v="2026-05-04T00:00:00"/>
    <s v="NF-10573"/>
    <x v="9"/>
    <s v="Financeiro"/>
    <s v="Software"/>
    <n v="2452.02"/>
    <s v="Boleto"/>
    <s v="Camila"/>
    <n v="30"/>
    <d v="2026-06-03T00:00:00"/>
    <s v="Em aberto"/>
    <m/>
    <n v="0"/>
    <n v="2452.02"/>
    <n v="0"/>
    <x v="4"/>
  </r>
  <r>
    <d v="2026-05-04T00:00:00"/>
    <s v="NF-10157"/>
    <x v="5"/>
    <s v="Financeiro"/>
    <s v="Serviços"/>
    <n v="540.34"/>
    <s v="Transferência"/>
    <s v="Bruno"/>
    <n v="30"/>
    <d v="2026-06-03T00:00:00"/>
    <s v="Pago"/>
    <d v="2026-06-03T00:00:00"/>
    <n v="540.34"/>
    <n v="0"/>
    <n v="0"/>
    <x v="4"/>
  </r>
  <r>
    <d v="2026-05-04T00:00:00"/>
    <s v="NF-10388"/>
    <x v="2"/>
    <s v="Operações"/>
    <s v="Serviços"/>
    <n v="1535.24"/>
    <s v="Boleto"/>
    <s v="Camila"/>
    <n v="15"/>
    <d v="2026-05-19T00:00:00"/>
    <s v="Pago"/>
    <d v="2026-05-19T00:00:00"/>
    <n v="1535.24"/>
    <n v="0"/>
    <n v="0"/>
    <x v="4"/>
  </r>
  <r>
    <d v="2026-05-05T00:00:00"/>
    <s v="NF-10458"/>
    <x v="10"/>
    <s v="Financeiro"/>
    <s v="Software"/>
    <n v="1620.71"/>
    <s v="PIX"/>
    <s v="Diego"/>
    <n v="45"/>
    <d v="2026-06-19T00:00:00"/>
    <s v="Pago"/>
    <d v="2026-06-24T00:00:00"/>
    <n v="1620.71"/>
    <n v="0"/>
    <n v="0"/>
    <x v="4"/>
  </r>
  <r>
    <d v="2026-05-06T00:00:00"/>
    <s v="NF-10238"/>
    <x v="3"/>
    <s v="Comercial"/>
    <s v="Material de Escritório"/>
    <n v="1401.58"/>
    <s v="Transferência"/>
    <s v="Fernanda"/>
    <n v="7"/>
    <d v="2026-05-13T00:00:00"/>
    <s v="Pago"/>
    <d v="2026-05-17T00:00:00"/>
    <n v="1401.58"/>
    <n v="0"/>
    <n v="0"/>
    <x v="4"/>
  </r>
  <r>
    <d v="2026-05-06T00:00:00"/>
    <s v="NF-10514"/>
    <x v="1"/>
    <s v="Comercial"/>
    <s v="Material de Escritório"/>
    <n v="1536.97"/>
    <s v="Cartão"/>
    <s v="Fernanda"/>
    <n v="30"/>
    <d v="2026-06-05T00:00:00"/>
    <s v="Pago"/>
    <d v="2026-06-13T00:00:00"/>
    <n v="1536.97"/>
    <n v="0"/>
    <n v="0"/>
    <x v="4"/>
  </r>
  <r>
    <d v="2026-05-07T00:00:00"/>
    <s v="NF-10417"/>
    <x v="1"/>
    <s v="Financeiro"/>
    <s v="Consultoria"/>
    <n v="1772.01"/>
    <s v="Cartão"/>
    <s v="Bruno"/>
    <n v="30"/>
    <d v="2026-06-06T00:00:00"/>
    <s v="Em atraso"/>
    <m/>
    <n v="0"/>
    <n v="1772.01"/>
    <n v="79"/>
    <x v="4"/>
  </r>
  <r>
    <d v="2026-05-07T00:00:00"/>
    <s v="NF-10505"/>
    <x v="5"/>
    <s v="Comercial"/>
    <s v="Material de Escritório"/>
    <n v="663.95"/>
    <s v="Cartão"/>
    <s v="Fernanda"/>
    <n v="15"/>
    <d v="2026-05-22T00:00:00"/>
    <s v="Pago"/>
    <d v="2026-05-31T00:00:00"/>
    <n v="663.95"/>
    <n v="0"/>
    <n v="0"/>
    <x v="4"/>
  </r>
  <r>
    <d v="2026-05-08T00:00:00"/>
    <s v="NF-10330"/>
    <x v="2"/>
    <s v="Financeiro"/>
    <s v="Software"/>
    <n v="1435.14"/>
    <s v="Boleto"/>
    <s v="Bruno"/>
    <n v="15"/>
    <d v="2026-05-23T00:00:00"/>
    <s v="Pago"/>
    <d v="2026-05-30T00:00:00"/>
    <n v="1435.14"/>
    <n v="0"/>
    <n v="0"/>
    <x v="4"/>
  </r>
  <r>
    <d v="2026-05-08T00:00:00"/>
    <s v="NF-10346"/>
    <x v="3"/>
    <s v="Administrativo"/>
    <s v="Material de Escritório"/>
    <n v="284.33999999999997"/>
    <s v="Cartão"/>
    <s v="Bruno"/>
    <n v="7"/>
    <d v="2026-05-15T00:00:00"/>
    <s v="Em aberto"/>
    <m/>
    <n v="0"/>
    <n v="284.33999999999997"/>
    <n v="0"/>
    <x v="4"/>
  </r>
  <r>
    <d v="2026-05-08T00:00:00"/>
    <s v="NF-10351"/>
    <x v="5"/>
    <s v="Operações"/>
    <s v="Consultoria"/>
    <n v="2333.0100000000002"/>
    <s v="Boleto"/>
    <s v="Lucas"/>
    <n v="7"/>
    <d v="2026-05-15T00:00:00"/>
    <s v="Pago"/>
    <d v="2026-05-15T00:00:00"/>
    <n v="2333.0100000000002"/>
    <n v="0"/>
    <n v="0"/>
    <x v="4"/>
  </r>
  <r>
    <d v="2026-05-08T00:00:00"/>
    <s v="NF-10402"/>
    <x v="6"/>
    <s v="Operações"/>
    <s v="Material de Escritório"/>
    <n v="2770.3"/>
    <s v="Transferência"/>
    <s v="Ana"/>
    <n v="15"/>
    <d v="2026-05-23T00:00:00"/>
    <s v="Pago"/>
    <d v="2026-05-31T00:00:00"/>
    <n v="2770.3"/>
    <n v="0"/>
    <n v="0"/>
    <x v="4"/>
  </r>
  <r>
    <d v="2026-05-08T00:00:00"/>
    <s v="NF-10566"/>
    <x v="10"/>
    <s v="Comercial"/>
    <s v="Material de Escritório"/>
    <n v="852.31"/>
    <s v="Cartão"/>
    <s v="Fernanda"/>
    <n v="30"/>
    <d v="2026-06-07T00:00:00"/>
    <s v="Pago"/>
    <d v="2026-06-16T00:00:00"/>
    <n v="852.31"/>
    <n v="0"/>
    <n v="0"/>
    <x v="4"/>
  </r>
  <r>
    <d v="2026-05-08T00:00:00"/>
    <s v="NF-10280"/>
    <x v="10"/>
    <s v="Comercial"/>
    <s v="Material de Escritório"/>
    <n v="1903.72"/>
    <s v="Cartão"/>
    <s v="Bruno"/>
    <n v="15"/>
    <d v="2026-05-23T00:00:00"/>
    <s v="Pago"/>
    <d v="2026-05-30T00:00:00"/>
    <n v="1903.72"/>
    <n v="0"/>
    <n v="0"/>
    <x v="4"/>
  </r>
  <r>
    <d v="2026-05-08T00:00:00"/>
    <s v="NF-10190"/>
    <x v="6"/>
    <s v="Operações"/>
    <s v="Consultoria"/>
    <n v="956.27"/>
    <s v="PIX"/>
    <s v="Camila"/>
    <n v="30"/>
    <d v="2026-06-07T00:00:00"/>
    <s v="Pago"/>
    <d v="2026-06-12T00:00:00"/>
    <n v="956.27"/>
    <n v="0"/>
    <n v="0"/>
    <x v="4"/>
  </r>
  <r>
    <d v="2026-05-09T00:00:00"/>
    <s v="NF-10519"/>
    <x v="4"/>
    <s v="Comercial"/>
    <s v="Serviços"/>
    <n v="1514.8"/>
    <s v="Cartão"/>
    <s v="Fernanda"/>
    <n v="30"/>
    <d v="2026-06-08T00:00:00"/>
    <s v="Pago"/>
    <d v="2026-06-14T00:00:00"/>
    <n v="1514.8"/>
    <n v="0"/>
    <n v="0"/>
    <x v="4"/>
  </r>
  <r>
    <d v="2026-05-09T00:00:00"/>
    <s v="NF-10508"/>
    <x v="7"/>
    <s v="Comercial"/>
    <s v="Consultoria"/>
    <n v="1410.01"/>
    <s v="Transferência"/>
    <s v="Bruno"/>
    <n v="15"/>
    <d v="2026-05-24T00:00:00"/>
    <s v="Em aberto"/>
    <m/>
    <n v="0"/>
    <n v="1410.01"/>
    <n v="0"/>
    <x v="4"/>
  </r>
  <r>
    <d v="2026-05-09T00:00:00"/>
    <s v="NF-10299"/>
    <x v="5"/>
    <s v="Comercial"/>
    <s v="Consultoria"/>
    <n v="2244.75"/>
    <s v="Boleto"/>
    <s v="Fernanda"/>
    <n v="30"/>
    <d v="2026-06-08T00:00:00"/>
    <s v="Pago"/>
    <d v="2026-06-12T00:00:00"/>
    <n v="2244.75"/>
    <n v="0"/>
    <n v="0"/>
    <x v="4"/>
  </r>
  <r>
    <d v="2026-05-09T00:00:00"/>
    <s v="NF-10115"/>
    <x v="4"/>
    <s v="Operações"/>
    <s v="Serviços"/>
    <n v="1472.73"/>
    <s v="Transferência"/>
    <s v="Camila"/>
    <n v="30"/>
    <d v="2026-06-08T00:00:00"/>
    <s v="Pago"/>
    <d v="2026-06-08T00:00:00"/>
    <n v="1472.73"/>
    <n v="0"/>
    <n v="0"/>
    <x v="4"/>
  </r>
  <r>
    <d v="2026-05-09T00:00:00"/>
    <s v="NF-10193"/>
    <x v="9"/>
    <s v="Financeiro"/>
    <s v="Serviços"/>
    <n v="682.43"/>
    <s v="Transferência"/>
    <s v="Ana"/>
    <n v="7"/>
    <d v="2026-05-16T00:00:00"/>
    <s v="Pago"/>
    <d v="2026-05-23T00:00:00"/>
    <n v="682.43"/>
    <n v="0"/>
    <n v="0"/>
    <x v="4"/>
  </r>
  <r>
    <d v="2026-05-09T00:00:00"/>
    <s v="NF-10284"/>
    <x v="0"/>
    <s v="Comercial"/>
    <s v="Equipamentos"/>
    <n v="1939.3"/>
    <s v="PIX"/>
    <s v="Fernanda"/>
    <n v="7"/>
    <d v="2026-05-16T00:00:00"/>
    <s v="Pago"/>
    <d v="2026-05-19T00:00:00"/>
    <n v="1939.3"/>
    <n v="0"/>
    <n v="0"/>
    <x v="4"/>
  </r>
  <r>
    <d v="2026-05-09T00:00:00"/>
    <s v="NF-10236"/>
    <x v="3"/>
    <s v="Financeiro"/>
    <s v="Consultoria"/>
    <n v="2162.2199999999998"/>
    <s v="Cartão"/>
    <s v="Ana"/>
    <n v="30"/>
    <d v="2026-06-08T00:00:00"/>
    <s v="Em aberto"/>
    <m/>
    <n v="0"/>
    <n v="2162.2199999999998"/>
    <n v="0"/>
    <x v="4"/>
  </r>
  <r>
    <d v="2026-05-10T00:00:00"/>
    <s v="NF-10593"/>
    <x v="5"/>
    <s v="Administrativo"/>
    <s v="Serviços"/>
    <n v="933.87"/>
    <s v="PIX"/>
    <s v="Fernanda"/>
    <n v="7"/>
    <d v="2026-05-17T00:00:00"/>
    <s v="Pago"/>
    <d v="2026-05-26T00:00:00"/>
    <n v="933.87"/>
    <n v="0"/>
    <n v="0"/>
    <x v="4"/>
  </r>
  <r>
    <d v="2026-05-10T00:00:00"/>
    <s v="NF-10223"/>
    <x v="0"/>
    <s v="Operações"/>
    <s v="Software"/>
    <n v="2872.46"/>
    <s v="Cartão"/>
    <s v="Diego"/>
    <n v="30"/>
    <d v="2026-06-09T00:00:00"/>
    <s v="Pago"/>
    <d v="2026-06-20T00:00:00"/>
    <n v="2872.46"/>
    <n v="0"/>
    <n v="0"/>
    <x v="4"/>
  </r>
  <r>
    <d v="2026-05-10T00:00:00"/>
    <s v="NF-10239"/>
    <x v="3"/>
    <s v="Financeiro"/>
    <s v="Serviços"/>
    <n v="2636.78"/>
    <s v="Boleto"/>
    <s v="Lucas"/>
    <n v="30"/>
    <d v="2026-06-09T00:00:00"/>
    <s v="Pago"/>
    <d v="2026-06-20T00:00:00"/>
    <n v="2636.78"/>
    <n v="0"/>
    <n v="0"/>
    <x v="4"/>
  </r>
  <r>
    <d v="2026-05-10T00:00:00"/>
    <s v="NF-10419"/>
    <x v="8"/>
    <s v="Comercial"/>
    <s v="Software"/>
    <n v="1664.74"/>
    <s v="Boleto"/>
    <s v="Bruno"/>
    <n v="15"/>
    <d v="2026-05-25T00:00:00"/>
    <s v="Em atraso"/>
    <m/>
    <n v="0"/>
    <n v="1664.74"/>
    <n v="91"/>
    <x v="4"/>
  </r>
  <r>
    <d v="2026-05-10T00:00:00"/>
    <s v="NF-10062"/>
    <x v="9"/>
    <s v="Comercial"/>
    <s v="Consultoria"/>
    <n v="862.33"/>
    <s v="PIX"/>
    <s v="Ana"/>
    <n v="15"/>
    <d v="2026-05-25T00:00:00"/>
    <s v="Pago"/>
    <d v="2026-06-03T00:00:00"/>
    <n v="862.33"/>
    <n v="0"/>
    <n v="0"/>
    <x v="4"/>
  </r>
  <r>
    <d v="2026-05-10T00:00:00"/>
    <s v="NF-10025"/>
    <x v="0"/>
    <s v="Financeiro"/>
    <s v="Software"/>
    <n v="423.18"/>
    <s v="Cartão"/>
    <s v="Bruno"/>
    <n v="15"/>
    <d v="2026-05-25T00:00:00"/>
    <s v="Pago"/>
    <d v="2026-05-25T00:00:00"/>
    <n v="423.18"/>
    <n v="0"/>
    <n v="0"/>
    <x v="4"/>
  </r>
  <r>
    <d v="2026-05-10T00:00:00"/>
    <s v="NF-10233"/>
    <x v="3"/>
    <s v="Financeiro"/>
    <s v="Serviços"/>
    <n v="1013.59"/>
    <s v="Transferência"/>
    <s v="Bruno"/>
    <n v="30"/>
    <d v="2026-06-09T00:00:00"/>
    <s v="Em aberto"/>
    <m/>
    <n v="0"/>
    <n v="1013.59"/>
    <n v="0"/>
    <x v="4"/>
  </r>
  <r>
    <d v="2026-05-11T00:00:00"/>
    <s v="NF-10310"/>
    <x v="3"/>
    <s v="Operações"/>
    <s v="Software"/>
    <n v="1285.5"/>
    <s v="PIX"/>
    <s v="Diego"/>
    <n v="30"/>
    <d v="2026-06-10T00:00:00"/>
    <s v="Pago"/>
    <d v="2026-06-15T00:00:00"/>
    <n v="1285.5"/>
    <n v="0"/>
    <n v="0"/>
    <x v="4"/>
  </r>
  <r>
    <d v="2026-05-11T00:00:00"/>
    <s v="NF-10146"/>
    <x v="4"/>
    <s v="Comercial"/>
    <s v="Software"/>
    <n v="777.02"/>
    <s v="Boleto"/>
    <s v="Bruno"/>
    <n v="15"/>
    <d v="2026-05-26T00:00:00"/>
    <s v="Em atraso"/>
    <m/>
    <n v="0"/>
    <n v="777.02"/>
    <n v="90"/>
    <x v="4"/>
  </r>
  <r>
    <d v="2026-05-11T00:00:00"/>
    <s v="NF-10224"/>
    <x v="6"/>
    <s v="Financeiro"/>
    <s v="Consultoria"/>
    <n v="764.91"/>
    <s v="PIX"/>
    <s v="Lucas"/>
    <n v="45"/>
    <d v="2026-06-25T00:00:00"/>
    <s v="Pago"/>
    <d v="2026-06-25T00:00:00"/>
    <n v="764.91"/>
    <n v="0"/>
    <n v="0"/>
    <x v="4"/>
  </r>
  <r>
    <d v="2026-05-11T00:00:00"/>
    <s v="NF-10048"/>
    <x v="6"/>
    <s v="Financeiro"/>
    <s v="Consultoria"/>
    <n v="3886.68"/>
    <s v="Cartão"/>
    <s v="Diego"/>
    <n v="30"/>
    <d v="2026-06-10T00:00:00"/>
    <s v="Pago"/>
    <d v="2026-06-16T00:00:00"/>
    <n v="3886.68"/>
    <n v="0"/>
    <n v="0"/>
    <x v="4"/>
  </r>
  <r>
    <d v="2026-05-11T00:00:00"/>
    <s v="NF-10018"/>
    <x v="3"/>
    <s v="Comercial"/>
    <s v="Consultoria"/>
    <n v="4123.38"/>
    <s v="Boleto"/>
    <s v="Bruno"/>
    <n v="15"/>
    <d v="2026-05-26T00:00:00"/>
    <s v="Pago"/>
    <d v="2026-06-04T00:00:00"/>
    <n v="4123.38"/>
    <n v="0"/>
    <n v="0"/>
    <x v="4"/>
  </r>
  <r>
    <d v="2026-05-12T00:00:00"/>
    <s v="NF-10164"/>
    <x v="4"/>
    <s v="Administrativo"/>
    <s v="Software"/>
    <n v="657.22"/>
    <s v="Boleto"/>
    <s v="Camila"/>
    <n v="30"/>
    <d v="2026-06-11T00:00:00"/>
    <s v="Pago"/>
    <d v="2026-06-11T00:00:00"/>
    <n v="657.22"/>
    <n v="0"/>
    <n v="0"/>
    <x v="4"/>
  </r>
  <r>
    <d v="2026-05-12T00:00:00"/>
    <s v="NF-10077"/>
    <x v="11"/>
    <s v="Administrativo"/>
    <s v="Material de Escritório"/>
    <n v="1074.6400000000001"/>
    <s v="Boleto"/>
    <s v="Camila"/>
    <n v="30"/>
    <d v="2026-06-11T00:00:00"/>
    <s v="Pago"/>
    <d v="2026-06-11T00:00:00"/>
    <n v="1074.6400000000001"/>
    <n v="0"/>
    <n v="0"/>
    <x v="4"/>
  </r>
  <r>
    <d v="2026-05-12T00:00:00"/>
    <s v="NF-10055"/>
    <x v="2"/>
    <s v="Operações"/>
    <s v="Serviços"/>
    <n v="2229.6999999999998"/>
    <s v="Cartão"/>
    <s v="Ana"/>
    <n v="30"/>
    <d v="2026-06-11T00:00:00"/>
    <s v="Em aberto"/>
    <m/>
    <n v="0"/>
    <n v="2229.6999999999998"/>
    <n v="0"/>
    <x v="4"/>
  </r>
  <r>
    <d v="2026-05-14T00:00:00"/>
    <s v="NF-10181"/>
    <x v="0"/>
    <s v="Administrativo"/>
    <s v="Consultoria"/>
    <n v="1805.65"/>
    <s v="Cartão"/>
    <s v="Bruno"/>
    <n v="30"/>
    <d v="2026-06-13T00:00:00"/>
    <s v="Pago"/>
    <d v="2026-06-18T00:00:00"/>
    <n v="1805.65"/>
    <n v="0"/>
    <n v="0"/>
    <x v="4"/>
  </r>
  <r>
    <d v="2026-05-14T00:00:00"/>
    <s v="NF-10079"/>
    <x v="4"/>
    <s v="Financeiro"/>
    <s v="Serviços"/>
    <n v="1397.77"/>
    <s v="Boleto"/>
    <s v="Lucas"/>
    <n v="30"/>
    <d v="2026-06-13T00:00:00"/>
    <s v="Em atraso"/>
    <m/>
    <n v="0"/>
    <n v="1397.77"/>
    <n v="72"/>
    <x v="4"/>
  </r>
  <r>
    <d v="2026-05-15T00:00:00"/>
    <s v="NF-10128"/>
    <x v="11"/>
    <s v="Comercial"/>
    <s v="Consultoria"/>
    <n v="840.01"/>
    <s v="PIX"/>
    <s v="Bruno"/>
    <n v="30"/>
    <d v="2026-06-14T00:00:00"/>
    <s v="Em atraso"/>
    <m/>
    <n v="0"/>
    <n v="840.01"/>
    <n v="71"/>
    <x v="4"/>
  </r>
  <r>
    <d v="2026-05-15T00:00:00"/>
    <s v="NF-10348"/>
    <x v="1"/>
    <s v="Operações"/>
    <s v="Software"/>
    <n v="972.6"/>
    <s v="Boleto"/>
    <s v="Camila"/>
    <n v="15"/>
    <d v="2026-05-30T00:00:00"/>
    <s v="Em aberto"/>
    <m/>
    <n v="0"/>
    <n v="972.6"/>
    <n v="0"/>
    <x v="4"/>
  </r>
  <r>
    <d v="2026-05-15T00:00:00"/>
    <s v="NF-10050"/>
    <x v="1"/>
    <s v="Administrativo"/>
    <s v="Serviços"/>
    <n v="1556.36"/>
    <s v="PIX"/>
    <s v="Lucas"/>
    <n v="15"/>
    <d v="2026-05-30T00:00:00"/>
    <s v="Em aberto"/>
    <m/>
    <n v="0"/>
    <n v="1556.36"/>
    <n v="0"/>
    <x v="4"/>
  </r>
  <r>
    <d v="2026-05-15T00:00:00"/>
    <s v="NF-10435"/>
    <x v="3"/>
    <s v="Administrativo"/>
    <s v="Serviços"/>
    <n v="2686.73"/>
    <s v="Boleto"/>
    <s v="Ana"/>
    <n v="45"/>
    <d v="2026-06-29T00:00:00"/>
    <s v="Pago"/>
    <d v="2026-06-30T00:00:00"/>
    <n v="2686.73"/>
    <n v="0"/>
    <n v="0"/>
    <x v="4"/>
  </r>
  <r>
    <d v="2026-05-16T00:00:00"/>
    <s v="NF-10120"/>
    <x v="2"/>
    <s v="Operações"/>
    <s v="Consultoria"/>
    <n v="1088.5999999999999"/>
    <s v="PIX"/>
    <s v="Diego"/>
    <n v="30"/>
    <d v="2026-06-15T00:00:00"/>
    <s v="Pago"/>
    <d v="2026-06-16T00:00:00"/>
    <n v="1088.5999999999999"/>
    <n v="0"/>
    <n v="0"/>
    <x v="4"/>
  </r>
  <r>
    <d v="2026-05-16T00:00:00"/>
    <s v="NF-10116"/>
    <x v="8"/>
    <s v="Operações"/>
    <s v="Material de Escritório"/>
    <n v="990.48"/>
    <s v="Transferência"/>
    <s v="Bruno"/>
    <n v="30"/>
    <d v="2026-06-15T00:00:00"/>
    <s v="Pago"/>
    <d v="2026-06-23T00:00:00"/>
    <n v="990.48"/>
    <n v="0"/>
    <n v="0"/>
    <x v="4"/>
  </r>
  <r>
    <d v="2026-05-16T00:00:00"/>
    <s v="NF-10347"/>
    <x v="6"/>
    <s v="Comercial"/>
    <s v="Consultoria"/>
    <n v="524.92999999999995"/>
    <s v="Boleto"/>
    <s v="Ana"/>
    <n v="15"/>
    <d v="2026-05-31T00:00:00"/>
    <s v="Em atraso"/>
    <m/>
    <n v="0"/>
    <n v="524.92999999999995"/>
    <n v="85"/>
    <x v="4"/>
  </r>
  <r>
    <d v="2026-05-17T00:00:00"/>
    <s v="NF-10152"/>
    <x v="9"/>
    <s v="Administrativo"/>
    <s v="Equipamentos"/>
    <n v="1590.07"/>
    <s v="Boleto"/>
    <s v="Bruno"/>
    <n v="30"/>
    <d v="2026-06-16T00:00:00"/>
    <s v="Pago"/>
    <d v="2026-06-16T00:00:00"/>
    <n v="1590.07"/>
    <n v="0"/>
    <n v="0"/>
    <x v="4"/>
  </r>
  <r>
    <d v="2026-05-17T00:00:00"/>
    <s v="NF-10423"/>
    <x v="9"/>
    <s v="Financeiro"/>
    <s v="Serviços"/>
    <n v="1439.8"/>
    <s v="Boleto"/>
    <s v="Camila"/>
    <n v="15"/>
    <d v="2026-06-01T00:00:00"/>
    <s v="Pago"/>
    <d v="2026-06-04T00:00:00"/>
    <n v="1439.8"/>
    <n v="0"/>
    <n v="0"/>
    <x v="4"/>
  </r>
  <r>
    <d v="2026-05-17T00:00:00"/>
    <s v="NF-10205"/>
    <x v="4"/>
    <s v="Operações"/>
    <s v="Serviços"/>
    <n v="2673.63"/>
    <s v="PIX"/>
    <s v="Fernanda"/>
    <n v="15"/>
    <d v="2026-06-01T00:00:00"/>
    <s v="Pago"/>
    <d v="2026-06-11T00:00:00"/>
    <n v="2673.63"/>
    <n v="0"/>
    <n v="0"/>
    <x v="4"/>
  </r>
  <r>
    <d v="2026-05-17T00:00:00"/>
    <s v="NF-10506"/>
    <x v="6"/>
    <s v="Administrativo"/>
    <s v="Consultoria"/>
    <n v="2381.65"/>
    <s v="PIX"/>
    <s v="Ana"/>
    <n v="30"/>
    <d v="2026-06-16T00:00:00"/>
    <s v="Pago"/>
    <d v="2026-06-25T00:00:00"/>
    <n v="2381.65"/>
    <n v="0"/>
    <n v="0"/>
    <x v="4"/>
  </r>
  <r>
    <d v="2026-05-18T00:00:00"/>
    <s v="NF-10555"/>
    <x v="6"/>
    <s v="Comercial"/>
    <s v="Software"/>
    <n v="1744.03"/>
    <s v="Cartão"/>
    <s v="Bruno"/>
    <n v="15"/>
    <d v="2026-06-02T00:00:00"/>
    <s v="Pago"/>
    <d v="2026-06-11T00:00:00"/>
    <n v="1744.03"/>
    <n v="0"/>
    <n v="0"/>
    <x v="4"/>
  </r>
  <r>
    <d v="2026-05-19T00:00:00"/>
    <s v="NF-10118"/>
    <x v="2"/>
    <s v="Operações"/>
    <s v="Material de Escritório"/>
    <n v="2150.61"/>
    <s v="Cartão"/>
    <s v="Ana"/>
    <n v="30"/>
    <d v="2026-06-18T00:00:00"/>
    <s v="Pago"/>
    <d v="2026-06-21T00:00:00"/>
    <n v="2150.61"/>
    <n v="0"/>
    <n v="0"/>
    <x v="4"/>
  </r>
  <r>
    <d v="2026-05-19T00:00:00"/>
    <s v="NF-10257"/>
    <x v="8"/>
    <s v="Financeiro"/>
    <s v="Equipamentos"/>
    <n v="1858.42"/>
    <s v="Boleto"/>
    <s v="Camila"/>
    <n v="15"/>
    <d v="2026-06-03T00:00:00"/>
    <s v="Pago"/>
    <d v="2026-06-14T00:00:00"/>
    <n v="1858.42"/>
    <n v="0"/>
    <n v="0"/>
    <x v="4"/>
  </r>
  <r>
    <d v="2026-05-20T00:00:00"/>
    <s v="NF-10570"/>
    <x v="2"/>
    <s v="Administrativo"/>
    <s v="Serviços"/>
    <n v="873.94"/>
    <s v="Boleto"/>
    <s v="Camila"/>
    <n v="30"/>
    <d v="2026-06-19T00:00:00"/>
    <s v="Pago"/>
    <d v="2026-06-23T00:00:00"/>
    <n v="873.94"/>
    <n v="0"/>
    <n v="0"/>
    <x v="4"/>
  </r>
  <r>
    <d v="2026-05-20T00:00:00"/>
    <s v="NF-10301"/>
    <x v="9"/>
    <s v="Comercial"/>
    <s v="Software"/>
    <n v="5792.83"/>
    <s v="Cartão"/>
    <s v="Fernanda"/>
    <n v="7"/>
    <d v="2026-05-27T00:00:00"/>
    <s v="Em atraso"/>
    <m/>
    <n v="0"/>
    <n v="5792.83"/>
    <n v="89"/>
    <x v="4"/>
  </r>
  <r>
    <d v="2026-05-20T00:00:00"/>
    <s v="NF-10507"/>
    <x v="4"/>
    <s v="Comercial"/>
    <s v="Software"/>
    <n v="2237.1"/>
    <s v="Transferência"/>
    <s v="Diego"/>
    <n v="15"/>
    <d v="2026-06-04T00:00:00"/>
    <s v="Em atraso"/>
    <m/>
    <n v="0"/>
    <n v="2237.1"/>
    <n v="81"/>
    <x v="4"/>
  </r>
  <r>
    <d v="2026-05-21T00:00:00"/>
    <s v="NF-10589"/>
    <x v="8"/>
    <s v="Administrativo"/>
    <s v="Serviços"/>
    <n v="1199.5899999999999"/>
    <s v="PIX"/>
    <s v="Fernanda"/>
    <n v="7"/>
    <d v="2026-05-28T00:00:00"/>
    <s v="Pago"/>
    <d v="2026-06-05T00:00:00"/>
    <n v="1199.5899999999999"/>
    <n v="0"/>
    <n v="0"/>
    <x v="4"/>
  </r>
  <r>
    <d v="2026-05-22T00:00:00"/>
    <s v="NF-10342"/>
    <x v="10"/>
    <s v="Operações"/>
    <s v="Material de Escritório"/>
    <n v="2845.12"/>
    <s v="Transferência"/>
    <s v="Lucas"/>
    <n v="30"/>
    <d v="2026-06-21T00:00:00"/>
    <s v="Pago"/>
    <d v="2026-06-29T00:00:00"/>
    <n v="2845.12"/>
    <n v="0"/>
    <n v="0"/>
    <x v="4"/>
  </r>
  <r>
    <d v="2026-05-22T00:00:00"/>
    <s v="NF-10149"/>
    <x v="9"/>
    <s v="Administrativo"/>
    <s v="Material de Escritório"/>
    <n v="666.64"/>
    <s v="PIX"/>
    <s v="Fernanda"/>
    <n v="15"/>
    <d v="2026-06-06T00:00:00"/>
    <s v="Pago"/>
    <d v="2026-06-10T00:00:00"/>
    <n v="666.64"/>
    <n v="0"/>
    <n v="0"/>
    <x v="4"/>
  </r>
  <r>
    <d v="2026-05-22T00:00:00"/>
    <s v="NF-10443"/>
    <x v="6"/>
    <s v="Financeiro"/>
    <s v="Material de Escritório"/>
    <n v="1659.71"/>
    <s v="Transferência"/>
    <s v="Diego"/>
    <n v="30"/>
    <d v="2026-06-21T00:00:00"/>
    <s v="Pago"/>
    <d v="2026-06-29T00:00:00"/>
    <n v="1659.71"/>
    <n v="0"/>
    <n v="0"/>
    <x v="4"/>
  </r>
  <r>
    <d v="2026-05-23T00:00:00"/>
    <s v="NF-10446"/>
    <x v="2"/>
    <s v="Operações"/>
    <s v="Material de Escritório"/>
    <n v="957.61"/>
    <s v="Cartão"/>
    <s v="Lucas"/>
    <n v="15"/>
    <d v="2026-06-07T00:00:00"/>
    <s v="Pago"/>
    <d v="2026-06-12T00:00:00"/>
    <n v="957.61"/>
    <n v="0"/>
    <n v="0"/>
    <x v="4"/>
  </r>
  <r>
    <d v="2026-05-23T00:00:00"/>
    <s v="NF-10166"/>
    <x v="8"/>
    <s v="Administrativo"/>
    <s v="Consultoria"/>
    <n v="644.97"/>
    <s v="Boleto"/>
    <s v="Fernanda"/>
    <n v="15"/>
    <d v="2026-06-07T00:00:00"/>
    <s v="Pago"/>
    <d v="2026-06-13T00:00:00"/>
    <n v="644.97"/>
    <n v="0"/>
    <n v="0"/>
    <x v="4"/>
  </r>
  <r>
    <d v="2026-05-24T00:00:00"/>
    <s v="NF-10293"/>
    <x v="5"/>
    <s v="Comercial"/>
    <s v="Equipamentos"/>
    <n v="918.72"/>
    <s v="PIX"/>
    <s v="Diego"/>
    <n v="30"/>
    <d v="2026-06-23T00:00:00"/>
    <s v="Pago"/>
    <d v="2026-07-03T00:00:00"/>
    <n v="918.72"/>
    <n v="0"/>
    <n v="0"/>
    <x v="4"/>
  </r>
  <r>
    <d v="2026-05-24T00:00:00"/>
    <s v="NF-10442"/>
    <x v="11"/>
    <s v="Operações"/>
    <s v="Equipamentos"/>
    <n v="665.86"/>
    <s v="PIX"/>
    <s v="Lucas"/>
    <n v="30"/>
    <d v="2026-06-23T00:00:00"/>
    <s v="Pago"/>
    <d v="2026-06-29T00:00:00"/>
    <n v="665.86"/>
    <n v="0"/>
    <n v="0"/>
    <x v="4"/>
  </r>
  <r>
    <d v="2026-05-24T00:00:00"/>
    <s v="NF-10530"/>
    <x v="4"/>
    <s v="Comercial"/>
    <s v="Serviços"/>
    <n v="2732.27"/>
    <s v="PIX"/>
    <s v="Lucas"/>
    <n v="30"/>
    <d v="2026-06-23T00:00:00"/>
    <s v="Pago"/>
    <d v="2026-06-24T00:00:00"/>
    <n v="2732.27"/>
    <n v="0"/>
    <n v="0"/>
    <x v="4"/>
  </r>
  <r>
    <d v="2026-05-24T00:00:00"/>
    <s v="NF-10487"/>
    <x v="4"/>
    <s v="Financeiro"/>
    <s v="Consultoria"/>
    <n v="596.51"/>
    <s v="PIX"/>
    <s v="Diego"/>
    <n v="30"/>
    <d v="2026-06-23T00:00:00"/>
    <s v="Pago"/>
    <d v="2026-06-30T00:00:00"/>
    <n v="596.51"/>
    <n v="0"/>
    <n v="0"/>
    <x v="4"/>
  </r>
  <r>
    <d v="2026-05-24T00:00:00"/>
    <s v="NF-10258"/>
    <x v="8"/>
    <s v="Administrativo"/>
    <s v="Software"/>
    <n v="2354.54"/>
    <s v="Boleto"/>
    <s v="Camila"/>
    <n v="30"/>
    <d v="2026-06-23T00:00:00"/>
    <s v="Pago"/>
    <d v="2026-06-30T00:00:00"/>
    <n v="2354.54"/>
    <n v="0"/>
    <n v="0"/>
    <x v="4"/>
  </r>
  <r>
    <d v="2026-05-24T00:00:00"/>
    <s v="NF-10542"/>
    <x v="6"/>
    <s v="Comercial"/>
    <s v="Material de Escritório"/>
    <n v="475.71"/>
    <s v="Boleto"/>
    <s v="Fernanda"/>
    <n v="30"/>
    <d v="2026-06-23T00:00:00"/>
    <s v="Pago"/>
    <d v="2026-06-27T00:00:00"/>
    <n v="475.71"/>
    <n v="0"/>
    <n v="0"/>
    <x v="4"/>
  </r>
  <r>
    <d v="2026-05-25T00:00:00"/>
    <s v="NF-10250"/>
    <x v="5"/>
    <s v="Administrativo"/>
    <s v="Equipamentos"/>
    <n v="3746.67"/>
    <s v="PIX"/>
    <s v="Camila"/>
    <n v="30"/>
    <d v="2026-06-24T00:00:00"/>
    <s v="Pago"/>
    <d v="2026-06-25T00:00:00"/>
    <n v="3746.67"/>
    <n v="0"/>
    <n v="0"/>
    <x v="4"/>
  </r>
  <r>
    <d v="2026-05-25T00:00:00"/>
    <s v="NF-10350"/>
    <x v="0"/>
    <s v="Comercial"/>
    <s v="Serviços"/>
    <n v="918.27"/>
    <s v="PIX"/>
    <s v="Diego"/>
    <n v="30"/>
    <d v="2026-06-24T00:00:00"/>
    <s v="Em atraso"/>
    <m/>
    <n v="0"/>
    <n v="918.27"/>
    <n v="61"/>
    <x v="4"/>
  </r>
  <r>
    <d v="2026-05-25T00:00:00"/>
    <s v="NF-10494"/>
    <x v="3"/>
    <s v="Operações"/>
    <s v="Equipamentos"/>
    <n v="1249.77"/>
    <s v="Boleto"/>
    <s v="Diego"/>
    <n v="30"/>
    <d v="2026-06-24T00:00:00"/>
    <s v="Pago"/>
    <d v="2026-07-04T00:00:00"/>
    <n v="1249.77"/>
    <n v="0"/>
    <n v="0"/>
    <x v="4"/>
  </r>
  <r>
    <d v="2026-05-26T00:00:00"/>
    <s v="NF-10329"/>
    <x v="6"/>
    <s v="Administrativo"/>
    <s v="Material de Escritório"/>
    <n v="489.46"/>
    <s v="Cartão"/>
    <s v="Lucas"/>
    <n v="30"/>
    <d v="2026-06-25T00:00:00"/>
    <s v="Pago"/>
    <d v="2026-07-04T00:00:00"/>
    <n v="489.46"/>
    <n v="0"/>
    <n v="0"/>
    <x v="4"/>
  </r>
  <r>
    <d v="2026-05-26T00:00:00"/>
    <s v="NF-10085"/>
    <x v="1"/>
    <s v="Financeiro"/>
    <s v="Serviços"/>
    <n v="971.71"/>
    <s v="PIX"/>
    <s v="Diego"/>
    <n v="7"/>
    <d v="2026-06-02T00:00:00"/>
    <s v="Em aberto"/>
    <m/>
    <n v="0"/>
    <n v="971.71"/>
    <n v="0"/>
    <x v="4"/>
  </r>
  <r>
    <d v="2026-05-27T00:00:00"/>
    <s v="NF-10270"/>
    <x v="4"/>
    <s v="Administrativo"/>
    <s v="Consultoria"/>
    <n v="570.27"/>
    <s v="PIX"/>
    <s v="Bruno"/>
    <n v="30"/>
    <d v="2026-06-26T00:00:00"/>
    <s v="Pago"/>
    <d v="2026-07-01T00:00:00"/>
    <n v="570.27"/>
    <n v="0"/>
    <n v="0"/>
    <x v="4"/>
  </r>
  <r>
    <d v="2026-05-27T00:00:00"/>
    <s v="NF-10273"/>
    <x v="11"/>
    <s v="Administrativo"/>
    <s v="Serviços"/>
    <n v="1099.54"/>
    <s v="Transferência"/>
    <s v="Camila"/>
    <n v="15"/>
    <d v="2026-06-11T00:00:00"/>
    <s v="Pago"/>
    <d v="2026-06-12T00:00:00"/>
    <n v="1099.54"/>
    <n v="0"/>
    <n v="0"/>
    <x v="4"/>
  </r>
  <r>
    <d v="2026-05-27T00:00:00"/>
    <s v="NF-10493"/>
    <x v="8"/>
    <s v="Administrativo"/>
    <s v="Software"/>
    <n v="780.18"/>
    <s v="Boleto"/>
    <s v="Bruno"/>
    <n v="7"/>
    <d v="2026-06-03T00:00:00"/>
    <s v="Pago"/>
    <d v="2026-06-12T00:00:00"/>
    <n v="780.18"/>
    <n v="0"/>
    <n v="0"/>
    <x v="4"/>
  </r>
  <r>
    <d v="2026-05-27T00:00:00"/>
    <s v="NF-10556"/>
    <x v="5"/>
    <s v="Comercial"/>
    <s v="Equipamentos"/>
    <n v="3119.66"/>
    <s v="Cartão"/>
    <s v="Bruno"/>
    <n v="30"/>
    <d v="2026-06-26T00:00:00"/>
    <s v="Em aberto"/>
    <m/>
    <n v="0"/>
    <n v="3119.66"/>
    <n v="0"/>
    <x v="4"/>
  </r>
  <r>
    <d v="2026-05-27T00:00:00"/>
    <s v="NF-10237"/>
    <x v="11"/>
    <s v="Financeiro"/>
    <s v="Serviços"/>
    <n v="926.56"/>
    <s v="Transferência"/>
    <s v="Lucas"/>
    <n v="30"/>
    <d v="2026-06-26T00:00:00"/>
    <s v="Pago"/>
    <d v="2026-07-05T00:00:00"/>
    <n v="926.56"/>
    <n v="0"/>
    <n v="0"/>
    <x v="4"/>
  </r>
  <r>
    <d v="2026-05-27T00:00:00"/>
    <s v="NF-10307"/>
    <x v="1"/>
    <s v="Comercial"/>
    <s v="Consultoria"/>
    <n v="3312.82"/>
    <s v="Boleto"/>
    <s v="Lucas"/>
    <n v="30"/>
    <d v="2026-06-26T00:00:00"/>
    <s v="Em atraso"/>
    <m/>
    <n v="0"/>
    <n v="3312.82"/>
    <n v="59"/>
    <x v="4"/>
  </r>
  <r>
    <d v="2026-05-27T00:00:00"/>
    <s v="NF-10376"/>
    <x v="8"/>
    <s v="Comercial"/>
    <s v="Software"/>
    <n v="451.06"/>
    <s v="Boleto"/>
    <s v="Lucas"/>
    <n v="15"/>
    <d v="2026-06-11T00:00:00"/>
    <s v="Pago"/>
    <d v="2026-06-12T00:00:00"/>
    <n v="451.06"/>
    <n v="0"/>
    <n v="0"/>
    <x v="4"/>
  </r>
  <r>
    <d v="2026-05-28T00:00:00"/>
    <s v="NF-10311"/>
    <x v="0"/>
    <s v="Financeiro"/>
    <s v="Consultoria"/>
    <n v="498.2"/>
    <s v="Transferência"/>
    <s v="Lucas"/>
    <n v="15"/>
    <d v="2026-06-12T00:00:00"/>
    <s v="Em aberto"/>
    <m/>
    <n v="0"/>
    <n v="498.2"/>
    <n v="0"/>
    <x v="4"/>
  </r>
  <r>
    <d v="2026-05-28T00:00:00"/>
    <s v="NF-10345"/>
    <x v="5"/>
    <s v="Comercial"/>
    <s v="Serviços"/>
    <n v="2217.29"/>
    <s v="Boleto"/>
    <s v="Diego"/>
    <n v="15"/>
    <d v="2026-06-12T00:00:00"/>
    <s v="Pago"/>
    <d v="2026-06-21T00:00:00"/>
    <n v="2217.29"/>
    <n v="0"/>
    <n v="0"/>
    <x v="4"/>
  </r>
  <r>
    <d v="2026-05-28T00:00:00"/>
    <s v="NF-10267"/>
    <x v="10"/>
    <s v="Administrativo"/>
    <s v="Serviços"/>
    <n v="2176.04"/>
    <s v="Boleto"/>
    <s v="Lucas"/>
    <n v="7"/>
    <d v="2026-06-04T00:00:00"/>
    <s v="Pago"/>
    <d v="2026-06-15T00:00:00"/>
    <n v="2176.04"/>
    <n v="0"/>
    <n v="0"/>
    <x v="4"/>
  </r>
  <r>
    <d v="2026-05-28T00:00:00"/>
    <s v="NF-10274"/>
    <x v="3"/>
    <s v="Administrativo"/>
    <s v="Equipamentos"/>
    <n v="3133.56"/>
    <s v="PIX"/>
    <s v="Bruno"/>
    <n v="30"/>
    <d v="2026-06-27T00:00:00"/>
    <s v="Pago"/>
    <d v="2026-07-08T00:00:00"/>
    <n v="3133.56"/>
    <n v="0"/>
    <n v="0"/>
    <x v="4"/>
  </r>
  <r>
    <d v="2026-05-30T00:00:00"/>
    <s v="NF-10019"/>
    <x v="6"/>
    <s v="Comercial"/>
    <s v="Equipamentos"/>
    <n v="1628.03"/>
    <s v="Boleto"/>
    <s v="Fernanda"/>
    <n v="15"/>
    <d v="2026-06-14T00:00:00"/>
    <s v="Pago"/>
    <d v="2026-06-15T00:00:00"/>
    <n v="1628.03"/>
    <n v="0"/>
    <n v="0"/>
    <x v="4"/>
  </r>
  <r>
    <d v="2026-05-30T00:00:00"/>
    <s v="NF-10459"/>
    <x v="5"/>
    <s v="Comercial"/>
    <s v="Software"/>
    <n v="620.82000000000005"/>
    <s v="Cartão"/>
    <s v="Lucas"/>
    <n v="30"/>
    <d v="2026-06-29T00:00:00"/>
    <s v="Em atraso"/>
    <m/>
    <n v="0"/>
    <n v="620.82000000000005"/>
    <n v="56"/>
    <x v="4"/>
  </r>
  <r>
    <d v="2026-05-31T00:00:00"/>
    <s v="NF-10165"/>
    <x v="1"/>
    <s v="Operações"/>
    <s v="Consultoria"/>
    <n v="1162.67"/>
    <s v="Cartão"/>
    <s v="Ana"/>
    <n v="15"/>
    <d v="2026-06-15T00:00:00"/>
    <s v="Em aberto"/>
    <m/>
    <n v="0"/>
    <n v="1162.67"/>
    <n v="0"/>
    <x v="4"/>
  </r>
  <r>
    <d v="2026-05-31T00:00:00"/>
    <s v="NF-10288"/>
    <x v="2"/>
    <s v="Administrativo"/>
    <s v="Consultoria"/>
    <n v="1046.03"/>
    <s v="Transferência"/>
    <s v="Bruno"/>
    <n v="30"/>
    <d v="2026-06-30T00:00:00"/>
    <s v="Pago"/>
    <d v="2026-07-10T00:00:00"/>
    <n v="1046.03"/>
    <n v="0"/>
    <n v="0"/>
    <x v="4"/>
  </r>
  <r>
    <d v="2026-05-31T00:00:00"/>
    <s v="NF-10135"/>
    <x v="6"/>
    <s v="Operações"/>
    <s v="Equipamentos"/>
    <n v="1439.6"/>
    <s v="Cartão"/>
    <s v="Camila"/>
    <n v="30"/>
    <d v="2026-06-30T00:00:00"/>
    <s v="Pago"/>
    <d v="2026-07-09T00:00:00"/>
    <n v="1439.6"/>
    <n v="0"/>
    <n v="0"/>
    <x v="4"/>
  </r>
  <r>
    <d v="2026-05-31T00:00:00"/>
    <s v="NF-10415"/>
    <x v="7"/>
    <s v="Comercial"/>
    <s v="Material de Escritório"/>
    <n v="685.9"/>
    <s v="Cartão"/>
    <s v="Camila"/>
    <n v="30"/>
    <d v="2026-06-30T00:00:00"/>
    <s v="Pago"/>
    <d v="2026-07-04T00:00:00"/>
    <n v="685.9"/>
    <n v="0"/>
    <n v="0"/>
    <x v="4"/>
  </r>
  <r>
    <d v="2026-06-01T00:00:00"/>
    <s v="NF-10432"/>
    <x v="5"/>
    <s v="Comercial"/>
    <s v="Consultoria"/>
    <n v="656.89"/>
    <s v="Boleto"/>
    <s v="Diego"/>
    <n v="30"/>
    <d v="2026-07-01T00:00:00"/>
    <s v="Pago"/>
    <d v="2026-07-06T00:00:00"/>
    <n v="656.89"/>
    <n v="0"/>
    <n v="0"/>
    <x v="5"/>
  </r>
  <r>
    <d v="2026-06-01T00:00:00"/>
    <s v="NF-10017"/>
    <x v="8"/>
    <s v="Operações"/>
    <s v="Software"/>
    <n v="2418.91"/>
    <s v="PIX"/>
    <s v="Ana"/>
    <n v="15"/>
    <d v="2026-06-16T00:00:00"/>
    <s v="Pago"/>
    <d v="2026-06-22T00:00:00"/>
    <n v="2418.91"/>
    <n v="0"/>
    <n v="0"/>
    <x v="5"/>
  </r>
  <r>
    <d v="2026-06-01T00:00:00"/>
    <s v="NF-10316"/>
    <x v="4"/>
    <s v="Administrativo"/>
    <s v="Serviços"/>
    <n v="705.34"/>
    <s v="Transferência"/>
    <s v="Fernanda"/>
    <n v="15"/>
    <d v="2026-06-16T00:00:00"/>
    <s v="Em aberto"/>
    <m/>
    <n v="0"/>
    <n v="705.34"/>
    <n v="0"/>
    <x v="5"/>
  </r>
  <r>
    <d v="2026-06-01T00:00:00"/>
    <s v="NF-10312"/>
    <x v="10"/>
    <s v="Operações"/>
    <s v="Serviços"/>
    <n v="1507.23"/>
    <s v="Boleto"/>
    <s v="Ana"/>
    <n v="45"/>
    <d v="2026-07-16T00:00:00"/>
    <s v="Pago"/>
    <d v="2026-07-16T00:00:00"/>
    <n v="1507.23"/>
    <n v="0"/>
    <n v="0"/>
    <x v="5"/>
  </r>
  <r>
    <d v="2026-06-01T00:00:00"/>
    <s v="NF-10210"/>
    <x v="10"/>
    <s v="Administrativo"/>
    <s v="Material de Escritório"/>
    <n v="6998.03"/>
    <s v="Boleto"/>
    <s v="Fernanda"/>
    <n v="30"/>
    <d v="2026-07-01T00:00:00"/>
    <s v="Em atraso"/>
    <m/>
    <n v="0"/>
    <n v="6998.03"/>
    <n v="54"/>
    <x v="5"/>
  </r>
  <r>
    <d v="2026-06-01T00:00:00"/>
    <s v="NF-10569"/>
    <x v="11"/>
    <s v="Operações"/>
    <s v="Serviços"/>
    <n v="2270.96"/>
    <s v="Boleto"/>
    <s v="Bruno"/>
    <n v="30"/>
    <d v="2026-07-01T00:00:00"/>
    <s v="Pago"/>
    <d v="2026-07-02T00:00:00"/>
    <n v="2270.96"/>
    <n v="0"/>
    <n v="0"/>
    <x v="5"/>
  </r>
  <r>
    <d v="2026-06-02T00:00:00"/>
    <s v="NF-10431"/>
    <x v="6"/>
    <s v="Operações"/>
    <s v="Equipamentos"/>
    <n v="1003.9"/>
    <s v="Boleto"/>
    <s v="Lucas"/>
    <n v="7"/>
    <d v="2026-06-09T00:00:00"/>
    <s v="Em atraso"/>
    <m/>
    <n v="0"/>
    <n v="1003.9"/>
    <n v="76"/>
    <x v="5"/>
  </r>
  <r>
    <d v="2026-06-02T00:00:00"/>
    <s v="NF-10454"/>
    <x v="1"/>
    <s v="Administrativo"/>
    <s v="Consultoria"/>
    <n v="649.01"/>
    <s v="PIX"/>
    <s v="Bruno"/>
    <n v="7"/>
    <d v="2026-06-09T00:00:00"/>
    <s v="Pago"/>
    <d v="2026-06-18T00:00:00"/>
    <n v="649.01"/>
    <n v="0"/>
    <n v="0"/>
    <x v="5"/>
  </r>
  <r>
    <d v="2026-06-02T00:00:00"/>
    <s v="NF-10327"/>
    <x v="9"/>
    <s v="Financeiro"/>
    <s v="Material de Escritório"/>
    <n v="1322.32"/>
    <s v="PIX"/>
    <s v="Ana"/>
    <n v="45"/>
    <d v="2026-07-17T00:00:00"/>
    <s v="Em atraso"/>
    <m/>
    <n v="0"/>
    <n v="1322.32"/>
    <n v="38"/>
    <x v="5"/>
  </r>
  <r>
    <d v="2026-06-03T00:00:00"/>
    <s v="NF-10529"/>
    <x v="7"/>
    <s v="Financeiro"/>
    <s v="Equipamentos"/>
    <n v="400.9"/>
    <s v="PIX"/>
    <s v="Lucas"/>
    <n v="30"/>
    <d v="2026-07-03T00:00:00"/>
    <s v="Em atraso"/>
    <m/>
    <n v="0"/>
    <n v="400.9"/>
    <n v="52"/>
    <x v="5"/>
  </r>
  <r>
    <d v="2026-06-03T00:00:00"/>
    <s v="NF-10103"/>
    <x v="9"/>
    <s v="Operações"/>
    <s v="Equipamentos"/>
    <n v="3980.27"/>
    <s v="PIX"/>
    <s v="Lucas"/>
    <n v="30"/>
    <d v="2026-07-03T00:00:00"/>
    <s v="Pago"/>
    <d v="2026-07-07T00:00:00"/>
    <n v="3980.27"/>
    <n v="0"/>
    <n v="0"/>
    <x v="5"/>
  </r>
  <r>
    <d v="2026-06-03T00:00:00"/>
    <s v="NF-10599"/>
    <x v="7"/>
    <s v="Comercial"/>
    <s v="Material de Escritório"/>
    <n v="780.81"/>
    <s v="Cartão"/>
    <s v="Camila"/>
    <n v="30"/>
    <d v="2026-07-03T00:00:00"/>
    <s v="Em atraso"/>
    <m/>
    <n v="0"/>
    <n v="780.81"/>
    <n v="52"/>
    <x v="5"/>
  </r>
  <r>
    <d v="2026-06-04T00:00:00"/>
    <s v="NF-10418"/>
    <x v="2"/>
    <s v="Administrativo"/>
    <s v="Software"/>
    <n v="290.85000000000002"/>
    <s v="PIX"/>
    <s v="Lucas"/>
    <n v="30"/>
    <d v="2026-07-04T00:00:00"/>
    <s v="Pago"/>
    <d v="2026-07-13T00:00:00"/>
    <n v="290.85000000000002"/>
    <n v="0"/>
    <n v="0"/>
    <x v="5"/>
  </r>
  <r>
    <d v="2026-06-04T00:00:00"/>
    <s v="NF-10204"/>
    <x v="0"/>
    <s v="Operações"/>
    <s v="Serviços"/>
    <n v="222.8"/>
    <s v="PIX"/>
    <s v="Bruno"/>
    <n v="15"/>
    <d v="2026-06-19T00:00:00"/>
    <s v="Em atraso"/>
    <m/>
    <n v="0"/>
    <n v="222.8"/>
    <n v="66"/>
    <x v="5"/>
  </r>
  <r>
    <d v="2026-06-06T00:00:00"/>
    <s v="NF-10107"/>
    <x v="9"/>
    <s v="Comercial"/>
    <s v="Material de Escritório"/>
    <n v="575.03"/>
    <s v="Transferência"/>
    <s v="Camila"/>
    <n v="15"/>
    <d v="2026-06-21T00:00:00"/>
    <s v="Pago"/>
    <d v="2026-06-28T00:00:00"/>
    <n v="575.03"/>
    <n v="0"/>
    <n v="0"/>
    <x v="5"/>
  </r>
  <r>
    <d v="2026-06-07T00:00:00"/>
    <s v="NF-10492"/>
    <x v="7"/>
    <s v="Financeiro"/>
    <s v="Material de Escritório"/>
    <n v="3247.82"/>
    <s v="Transferência"/>
    <s v="Camila"/>
    <n v="7"/>
    <d v="2026-06-14T00:00:00"/>
    <s v="Pago"/>
    <d v="2026-06-25T00:00:00"/>
    <n v="3247.82"/>
    <n v="0"/>
    <n v="0"/>
    <x v="5"/>
  </r>
  <r>
    <d v="2026-06-07T00:00:00"/>
    <s v="NF-10023"/>
    <x v="2"/>
    <s v="Comercial"/>
    <s v="Consultoria"/>
    <n v="1305.28"/>
    <s v="Cartão"/>
    <s v="Fernanda"/>
    <n v="7"/>
    <d v="2026-06-14T00:00:00"/>
    <s v="Em aberto"/>
    <m/>
    <n v="0"/>
    <n v="1305.28"/>
    <n v="0"/>
    <x v="5"/>
  </r>
  <r>
    <d v="2026-06-07T00:00:00"/>
    <s v="NF-10359"/>
    <x v="7"/>
    <s v="Operações"/>
    <s v="Serviços"/>
    <n v="844.65"/>
    <s v="Cartão"/>
    <s v="Fernanda"/>
    <n v="45"/>
    <d v="2026-07-22T00:00:00"/>
    <s v="Em aberto"/>
    <m/>
    <n v="0"/>
    <n v="844.65"/>
    <n v="0"/>
    <x v="5"/>
  </r>
  <r>
    <d v="2026-06-07T00:00:00"/>
    <s v="NF-10383"/>
    <x v="4"/>
    <s v="Operações"/>
    <s v="Equipamentos"/>
    <n v="2425.61"/>
    <s v="PIX"/>
    <s v="Fernanda"/>
    <n v="15"/>
    <d v="2026-06-22T00:00:00"/>
    <s v="Pago"/>
    <d v="2026-06-23T00:00:00"/>
    <n v="2425.61"/>
    <n v="0"/>
    <n v="0"/>
    <x v="5"/>
  </r>
  <r>
    <d v="2026-06-08T00:00:00"/>
    <s v="NF-10289"/>
    <x v="0"/>
    <s v="Comercial"/>
    <s v="Software"/>
    <n v="1115.0899999999999"/>
    <s v="Boleto"/>
    <s v="Bruno"/>
    <n v="30"/>
    <d v="2026-07-08T00:00:00"/>
    <s v="Pago"/>
    <d v="2026-07-12T00:00:00"/>
    <n v="1115.0899999999999"/>
    <n v="0"/>
    <n v="0"/>
    <x v="5"/>
  </r>
  <r>
    <d v="2026-06-09T00:00:00"/>
    <s v="NF-10399"/>
    <x v="10"/>
    <s v="Comercial"/>
    <s v="Consultoria"/>
    <n v="1077.06"/>
    <s v="Transferência"/>
    <s v="Diego"/>
    <n v="7"/>
    <d v="2026-06-16T00:00:00"/>
    <s v="Pago"/>
    <d v="2026-06-24T00:00:00"/>
    <n v="1077.06"/>
    <n v="0"/>
    <n v="0"/>
    <x v="5"/>
  </r>
  <r>
    <d v="2026-06-09T00:00:00"/>
    <s v="NF-10214"/>
    <x v="4"/>
    <s v="Administrativo"/>
    <s v="Consultoria"/>
    <n v="2226.46"/>
    <s v="Transferência"/>
    <s v="Diego"/>
    <n v="15"/>
    <d v="2026-06-24T00:00:00"/>
    <s v="Pago"/>
    <d v="2026-07-03T00:00:00"/>
    <n v="2226.46"/>
    <n v="0"/>
    <n v="0"/>
    <x v="5"/>
  </r>
  <r>
    <d v="2026-06-09T00:00:00"/>
    <s v="NF-10244"/>
    <x v="5"/>
    <s v="Administrativo"/>
    <s v="Equipamentos"/>
    <n v="2338.14"/>
    <s v="PIX"/>
    <s v="Fernanda"/>
    <n v="45"/>
    <d v="2026-07-24T00:00:00"/>
    <s v="Pago"/>
    <d v="2026-08-01T00:00:00"/>
    <n v="2338.14"/>
    <n v="0"/>
    <n v="0"/>
    <x v="5"/>
  </r>
  <r>
    <d v="2026-06-09T00:00:00"/>
    <s v="NF-10171"/>
    <x v="1"/>
    <s v="Comercial"/>
    <s v="Serviços"/>
    <n v="855.77"/>
    <s v="Cartão"/>
    <s v="Diego"/>
    <n v="15"/>
    <d v="2026-06-24T00:00:00"/>
    <s v="Em aberto"/>
    <m/>
    <n v="0"/>
    <n v="855.77"/>
    <n v="0"/>
    <x v="5"/>
  </r>
  <r>
    <d v="2026-06-09T00:00:00"/>
    <s v="NF-10304"/>
    <x v="5"/>
    <s v="Comercial"/>
    <s v="Consultoria"/>
    <n v="465.49"/>
    <s v="Transferência"/>
    <s v="Diego"/>
    <n v="7"/>
    <d v="2026-06-16T00:00:00"/>
    <s v="Em aberto"/>
    <m/>
    <n v="0"/>
    <n v="465.49"/>
    <n v="0"/>
    <x v="5"/>
  </r>
  <r>
    <d v="2026-06-09T00:00:00"/>
    <s v="NF-10567"/>
    <x v="10"/>
    <s v="Operações"/>
    <s v="Material de Escritório"/>
    <n v="3685.33"/>
    <s v="Transferência"/>
    <s v="Ana"/>
    <n v="30"/>
    <d v="2026-07-09T00:00:00"/>
    <s v="Pago"/>
    <d v="2026-07-11T00:00:00"/>
    <n v="3685.33"/>
    <n v="0"/>
    <n v="0"/>
    <x v="5"/>
  </r>
  <r>
    <d v="2026-06-09T00:00:00"/>
    <s v="NF-10242"/>
    <x v="8"/>
    <s v="Operações"/>
    <s v="Software"/>
    <n v="1569.26"/>
    <s v="PIX"/>
    <s v="Diego"/>
    <n v="30"/>
    <d v="2026-07-09T00:00:00"/>
    <s v="Pago"/>
    <d v="2026-07-10T00:00:00"/>
    <n v="1569.26"/>
    <n v="0"/>
    <n v="0"/>
    <x v="5"/>
  </r>
  <r>
    <d v="2026-06-10T00:00:00"/>
    <s v="NF-10422"/>
    <x v="10"/>
    <s v="Operações"/>
    <s v="Software"/>
    <n v="2964.25"/>
    <s v="PIX"/>
    <s v="Diego"/>
    <n v="30"/>
    <d v="2026-07-10T00:00:00"/>
    <s v="Pago"/>
    <d v="2026-07-17T00:00:00"/>
    <n v="2964.25"/>
    <n v="0"/>
    <n v="0"/>
    <x v="5"/>
  </r>
  <r>
    <d v="2026-06-10T00:00:00"/>
    <s v="NF-10400"/>
    <x v="8"/>
    <s v="Administrativo"/>
    <s v="Material de Escritório"/>
    <n v="828.73"/>
    <s v="PIX"/>
    <s v="Fernanda"/>
    <n v="45"/>
    <d v="2026-07-25T00:00:00"/>
    <s v="Pago"/>
    <d v="2026-08-05T00:00:00"/>
    <n v="828.73"/>
    <n v="0"/>
    <n v="0"/>
    <x v="5"/>
  </r>
  <r>
    <d v="2026-06-10T00:00:00"/>
    <s v="NF-10339"/>
    <x v="0"/>
    <s v="Financeiro"/>
    <s v="Software"/>
    <n v="521.92999999999995"/>
    <s v="PIX"/>
    <s v="Bruno"/>
    <n v="15"/>
    <d v="2026-06-25T00:00:00"/>
    <s v="Pago"/>
    <d v="2026-07-06T00:00:00"/>
    <n v="521.92999999999995"/>
    <n v="0"/>
    <n v="0"/>
    <x v="5"/>
  </r>
  <r>
    <d v="2026-06-10T00:00:00"/>
    <s v="NF-10575"/>
    <x v="9"/>
    <s v="Administrativo"/>
    <s v="Material de Escritório"/>
    <n v="1534.4"/>
    <s v="Cartão"/>
    <s v="Camila"/>
    <n v="45"/>
    <d v="2026-07-25T00:00:00"/>
    <s v="Pago"/>
    <d v="2026-07-31T00:00:00"/>
    <n v="1534.4"/>
    <n v="0"/>
    <n v="0"/>
    <x v="5"/>
  </r>
  <r>
    <d v="2026-06-10T00:00:00"/>
    <s v="NF-10583"/>
    <x v="4"/>
    <s v="Financeiro"/>
    <s v="Software"/>
    <n v="1515.13"/>
    <s v="PIX"/>
    <s v="Lucas"/>
    <n v="15"/>
    <d v="2026-06-25T00:00:00"/>
    <s v="Em atraso"/>
    <m/>
    <n v="0"/>
    <n v="1515.13"/>
    <n v="60"/>
    <x v="5"/>
  </r>
  <r>
    <d v="2026-06-10T00:00:00"/>
    <s v="NF-10029"/>
    <x v="11"/>
    <s v="Administrativo"/>
    <s v="Software"/>
    <n v="1569.6"/>
    <s v="Transferência"/>
    <s v="Bruno"/>
    <n v="15"/>
    <d v="2026-06-25T00:00:00"/>
    <s v="Pago"/>
    <d v="2026-07-04T00:00:00"/>
    <n v="1569.6"/>
    <n v="0"/>
    <n v="0"/>
    <x v="5"/>
  </r>
  <r>
    <d v="2026-06-10T00:00:00"/>
    <s v="NF-10278"/>
    <x v="2"/>
    <s v="Administrativo"/>
    <s v="Serviços"/>
    <n v="1029"/>
    <s v="Cartão"/>
    <s v="Fernanda"/>
    <n v="30"/>
    <d v="2026-07-10T00:00:00"/>
    <s v="Pago"/>
    <d v="2026-07-14T00:00:00"/>
    <n v="1029"/>
    <n v="0"/>
    <n v="0"/>
    <x v="5"/>
  </r>
  <r>
    <d v="2026-06-10T00:00:00"/>
    <s v="NF-10315"/>
    <x v="4"/>
    <s v="Comercial"/>
    <s v="Software"/>
    <n v="1247.06"/>
    <s v="PIX"/>
    <s v="Camila"/>
    <n v="30"/>
    <d v="2026-07-10T00:00:00"/>
    <s v="Em aberto"/>
    <m/>
    <n v="0"/>
    <n v="1247.06"/>
    <n v="0"/>
    <x v="5"/>
  </r>
  <r>
    <d v="2026-06-11T00:00:00"/>
    <s v="NF-10087"/>
    <x v="10"/>
    <s v="Financeiro"/>
    <s v="Serviços"/>
    <n v="1703.13"/>
    <s v="PIX"/>
    <s v="Ana"/>
    <n v="15"/>
    <d v="2026-06-26T00:00:00"/>
    <s v="Pago"/>
    <d v="2026-07-07T00:00:00"/>
    <n v="1703.13"/>
    <n v="0"/>
    <n v="0"/>
    <x v="5"/>
  </r>
  <r>
    <d v="2026-06-11T00:00:00"/>
    <s v="NF-10132"/>
    <x v="6"/>
    <s v="Operações"/>
    <s v="Serviços"/>
    <n v="570.24"/>
    <s v="Transferência"/>
    <s v="Bruno"/>
    <n v="15"/>
    <d v="2026-06-26T00:00:00"/>
    <s v="Pago"/>
    <d v="2026-06-30T00:00:00"/>
    <n v="570.24"/>
    <n v="0"/>
    <n v="0"/>
    <x v="5"/>
  </r>
  <r>
    <d v="2026-06-12T00:00:00"/>
    <s v="NF-10572"/>
    <x v="8"/>
    <s v="Financeiro"/>
    <s v="Material de Escritório"/>
    <n v="2120.5500000000002"/>
    <s v="PIX"/>
    <s v="Lucas"/>
    <n v="30"/>
    <d v="2026-07-12T00:00:00"/>
    <s v="Em aberto"/>
    <m/>
    <n v="0"/>
    <n v="2120.5500000000002"/>
    <n v="0"/>
    <x v="5"/>
  </r>
  <r>
    <d v="2026-06-12T00:00:00"/>
    <s v="NF-10335"/>
    <x v="2"/>
    <s v="Operações"/>
    <s v="Consultoria"/>
    <n v="494.41"/>
    <s v="Boleto"/>
    <s v="Ana"/>
    <n v="7"/>
    <d v="2026-06-19T00:00:00"/>
    <s v="Pago"/>
    <d v="2026-06-28T00:00:00"/>
    <n v="494.41"/>
    <n v="0"/>
    <n v="0"/>
    <x v="5"/>
  </r>
  <r>
    <d v="2026-06-12T00:00:00"/>
    <s v="NF-10122"/>
    <x v="1"/>
    <s v="Administrativo"/>
    <s v="Consultoria"/>
    <n v="2383"/>
    <s v="Cartão"/>
    <s v="Bruno"/>
    <n v="15"/>
    <d v="2026-06-27T00:00:00"/>
    <s v="Pago"/>
    <d v="2026-06-30T00:00:00"/>
    <n v="2383"/>
    <n v="0"/>
    <n v="0"/>
    <x v="5"/>
  </r>
  <r>
    <d v="2026-06-12T00:00:00"/>
    <s v="NF-10121"/>
    <x v="0"/>
    <s v="Comercial"/>
    <s v="Material de Escritório"/>
    <n v="1323.58"/>
    <s v="Cartão"/>
    <s v="Diego"/>
    <n v="45"/>
    <d v="2026-07-27T00:00:00"/>
    <s v="Pago"/>
    <d v="2026-08-06T00:00:00"/>
    <n v="1323.58"/>
    <n v="0"/>
    <n v="0"/>
    <x v="5"/>
  </r>
  <r>
    <d v="2026-06-13T00:00:00"/>
    <s v="NF-10074"/>
    <x v="8"/>
    <s v="Comercial"/>
    <s v="Material de Escritório"/>
    <n v="1142.8399999999999"/>
    <s v="PIX"/>
    <s v="Lucas"/>
    <n v="30"/>
    <d v="2026-07-13T00:00:00"/>
    <s v="Pago"/>
    <d v="2026-07-20T00:00:00"/>
    <n v="1142.8399999999999"/>
    <n v="0"/>
    <n v="0"/>
    <x v="5"/>
  </r>
  <r>
    <d v="2026-06-13T00:00:00"/>
    <s v="NF-10321"/>
    <x v="11"/>
    <s v="Comercial"/>
    <s v="Software"/>
    <n v="2754.21"/>
    <s v="PIX"/>
    <s v="Camila"/>
    <n v="30"/>
    <d v="2026-07-13T00:00:00"/>
    <s v="Pago"/>
    <d v="2026-07-23T00:00:00"/>
    <n v="2754.21"/>
    <n v="0"/>
    <n v="0"/>
    <x v="5"/>
  </r>
  <r>
    <d v="2026-06-13T00:00:00"/>
    <s v="NF-10269"/>
    <x v="3"/>
    <s v="Financeiro"/>
    <s v="Consultoria"/>
    <n v="638.98"/>
    <s v="PIX"/>
    <s v="Lucas"/>
    <n v="30"/>
    <d v="2026-07-13T00:00:00"/>
    <s v="Em atraso"/>
    <m/>
    <n v="0"/>
    <n v="638.98"/>
    <n v="42"/>
    <x v="5"/>
  </r>
  <r>
    <d v="2026-06-14T00:00:00"/>
    <s v="NF-10207"/>
    <x v="11"/>
    <s v="Financeiro"/>
    <s v="Consultoria"/>
    <n v="1538.07"/>
    <s v="PIX"/>
    <s v="Lucas"/>
    <n v="15"/>
    <d v="2026-06-29T00:00:00"/>
    <s v="Pago"/>
    <d v="2026-07-08T00:00:00"/>
    <n v="1538.07"/>
    <n v="0"/>
    <n v="0"/>
    <x v="5"/>
  </r>
  <r>
    <d v="2026-06-15T00:00:00"/>
    <s v="NF-10322"/>
    <x v="4"/>
    <s v="Administrativo"/>
    <s v="Serviços"/>
    <n v="1058.0899999999999"/>
    <s v="PIX"/>
    <s v="Fernanda"/>
    <n v="30"/>
    <d v="2026-07-15T00:00:00"/>
    <s v="Em atraso"/>
    <m/>
    <n v="0"/>
    <n v="1058.0899999999999"/>
    <n v="40"/>
    <x v="5"/>
  </r>
  <r>
    <d v="2026-06-16T00:00:00"/>
    <s v="NF-10053"/>
    <x v="1"/>
    <s v="Administrativo"/>
    <s v="Consultoria"/>
    <n v="2249.7399999999998"/>
    <s v="Transferência"/>
    <s v="Ana"/>
    <n v="30"/>
    <d v="2026-07-16T00:00:00"/>
    <s v="Em atraso"/>
    <m/>
    <n v="0"/>
    <n v="2249.7399999999998"/>
    <n v="39"/>
    <x v="5"/>
  </r>
  <r>
    <d v="2026-06-17T00:00:00"/>
    <s v="NF-10584"/>
    <x v="11"/>
    <s v="Financeiro"/>
    <s v="Equipamentos"/>
    <n v="2340.3000000000002"/>
    <s v="Boleto"/>
    <s v="Bruno"/>
    <n v="30"/>
    <d v="2026-07-17T00:00:00"/>
    <s v="Pago"/>
    <d v="2026-07-21T00:00:00"/>
    <n v="2340.3000000000002"/>
    <n v="0"/>
    <n v="0"/>
    <x v="5"/>
  </r>
  <r>
    <d v="2026-06-17T00:00:00"/>
    <s v="NF-10485"/>
    <x v="4"/>
    <s v="Financeiro"/>
    <s v="Consultoria"/>
    <n v="1272.7"/>
    <s v="Boleto"/>
    <s v="Ana"/>
    <n v="30"/>
    <d v="2026-07-17T00:00:00"/>
    <s v="Em atraso"/>
    <m/>
    <n v="0"/>
    <n v="1272.7"/>
    <n v="38"/>
    <x v="5"/>
  </r>
  <r>
    <d v="2026-06-17T00:00:00"/>
    <s v="NF-10279"/>
    <x v="11"/>
    <s v="Operações"/>
    <s v="Consultoria"/>
    <n v="1282.02"/>
    <s v="Boleto"/>
    <s v="Fernanda"/>
    <n v="15"/>
    <d v="2026-07-02T00:00:00"/>
    <s v="Pago"/>
    <d v="2026-07-04T00:00:00"/>
    <n v="1282.02"/>
    <n v="0"/>
    <n v="0"/>
    <x v="5"/>
  </r>
  <r>
    <d v="2026-06-18T00:00:00"/>
    <s v="NF-10338"/>
    <x v="3"/>
    <s v="Financeiro"/>
    <s v="Consultoria"/>
    <n v="260.77999999999997"/>
    <s v="Cartão"/>
    <s v="Lucas"/>
    <n v="15"/>
    <d v="2026-07-03T00:00:00"/>
    <s v="Em aberto"/>
    <m/>
    <n v="0"/>
    <n v="260.77999999999997"/>
    <n v="0"/>
    <x v="5"/>
  </r>
  <r>
    <d v="2026-06-19T00:00:00"/>
    <s v="NF-10465"/>
    <x v="4"/>
    <s v="Comercial"/>
    <s v="Equipamentos"/>
    <n v="613.59"/>
    <s v="Transferência"/>
    <s v="Fernanda"/>
    <n v="45"/>
    <d v="2026-08-03T00:00:00"/>
    <s v="Pago"/>
    <d v="2026-08-10T00:00:00"/>
    <n v="613.59"/>
    <n v="0"/>
    <n v="0"/>
    <x v="5"/>
  </r>
  <r>
    <d v="2026-06-19T00:00:00"/>
    <s v="NF-10427"/>
    <x v="7"/>
    <s v="Administrativo"/>
    <s v="Equipamentos"/>
    <n v="1757.81"/>
    <s v="Boleto"/>
    <s v="Diego"/>
    <n v="7"/>
    <d v="2026-06-26T00:00:00"/>
    <s v="Pago"/>
    <d v="2026-07-07T00:00:00"/>
    <n v="1757.81"/>
    <n v="0"/>
    <n v="0"/>
    <x v="5"/>
  </r>
  <r>
    <d v="2026-06-19T00:00:00"/>
    <s v="NF-10177"/>
    <x v="8"/>
    <s v="Financeiro"/>
    <s v="Software"/>
    <n v="2677.96"/>
    <s v="Cartão"/>
    <s v="Bruno"/>
    <n v="15"/>
    <d v="2026-07-04T00:00:00"/>
    <s v="Pago"/>
    <d v="2026-07-07T00:00:00"/>
    <n v="2677.96"/>
    <n v="0"/>
    <n v="0"/>
    <x v="5"/>
  </r>
  <r>
    <d v="2026-06-19T00:00:00"/>
    <s v="NF-10036"/>
    <x v="2"/>
    <s v="Comercial"/>
    <s v="Material de Escritório"/>
    <n v="1901.57"/>
    <s v="Boleto"/>
    <s v="Ana"/>
    <n v="15"/>
    <d v="2026-07-04T00:00:00"/>
    <s v="Pago"/>
    <d v="2026-07-14T00:00:00"/>
    <n v="1901.57"/>
    <n v="0"/>
    <n v="0"/>
    <x v="5"/>
  </r>
  <r>
    <d v="2026-06-20T00:00:00"/>
    <s v="NF-10578"/>
    <x v="9"/>
    <s v="Financeiro"/>
    <s v="Serviços"/>
    <n v="1829.62"/>
    <s v="Boleto"/>
    <s v="Ana"/>
    <n v="7"/>
    <d v="2026-06-27T00:00:00"/>
    <s v="Pago"/>
    <d v="2026-06-27T00:00:00"/>
    <n v="1829.62"/>
    <n v="0"/>
    <n v="0"/>
    <x v="5"/>
  </r>
  <r>
    <d v="2026-06-20T00:00:00"/>
    <s v="NF-10167"/>
    <x v="7"/>
    <s v="Comercial"/>
    <s v="Serviços"/>
    <n v="2043.92"/>
    <s v="Transferência"/>
    <s v="Camila"/>
    <n v="7"/>
    <d v="2026-06-27T00:00:00"/>
    <s v="Pago"/>
    <d v="2026-07-06T00:00:00"/>
    <n v="2043.92"/>
    <n v="0"/>
    <n v="0"/>
    <x v="5"/>
  </r>
  <r>
    <d v="2026-06-21T00:00:00"/>
    <s v="NF-10241"/>
    <x v="8"/>
    <s v="Financeiro"/>
    <s v="Consultoria"/>
    <n v="1100.78"/>
    <s v="PIX"/>
    <s v="Diego"/>
    <n v="30"/>
    <d v="2026-07-21T00:00:00"/>
    <s v="Pago"/>
    <d v="2026-07-28T00:00:00"/>
    <n v="1100.78"/>
    <n v="0"/>
    <n v="0"/>
    <x v="5"/>
  </r>
  <r>
    <d v="2026-06-21T00:00:00"/>
    <s v="NF-10068"/>
    <x v="6"/>
    <s v="Administrativo"/>
    <s v="Software"/>
    <n v="2533.39"/>
    <s v="Boleto"/>
    <s v="Ana"/>
    <n v="7"/>
    <d v="2026-06-28T00:00:00"/>
    <s v="Pago"/>
    <d v="2026-07-08T00:00:00"/>
    <n v="2533.39"/>
    <n v="0"/>
    <n v="0"/>
    <x v="5"/>
  </r>
  <r>
    <d v="2026-06-21T00:00:00"/>
    <s v="NF-10382"/>
    <x v="11"/>
    <s v="Comercial"/>
    <s v="Serviços"/>
    <n v="1557.81"/>
    <s v="Boleto"/>
    <s v="Camila"/>
    <n v="45"/>
    <d v="2026-08-05T00:00:00"/>
    <s v="Em atraso"/>
    <m/>
    <n v="0"/>
    <n v="1557.81"/>
    <n v="19"/>
    <x v="5"/>
  </r>
  <r>
    <d v="2026-06-21T00:00:00"/>
    <s v="NF-10209"/>
    <x v="5"/>
    <s v="Comercial"/>
    <s v="Serviços"/>
    <n v="3113.62"/>
    <s v="Transferência"/>
    <s v="Bruno"/>
    <n v="30"/>
    <d v="2026-07-21T00:00:00"/>
    <s v="Pago"/>
    <d v="2026-07-21T00:00:00"/>
    <n v="3113.62"/>
    <n v="0"/>
    <n v="0"/>
    <x v="5"/>
  </r>
  <r>
    <d v="2026-06-21T00:00:00"/>
    <s v="NF-10139"/>
    <x v="3"/>
    <s v="Comercial"/>
    <s v="Material de Escritório"/>
    <n v="1465.21"/>
    <s v="Boleto"/>
    <s v="Fernanda"/>
    <n v="7"/>
    <d v="2026-06-28T00:00:00"/>
    <s v="Pago"/>
    <d v="2026-07-07T00:00:00"/>
    <n v="1465.21"/>
    <n v="0"/>
    <n v="0"/>
    <x v="5"/>
  </r>
  <r>
    <d v="2026-06-22T00:00:00"/>
    <s v="NF-10438"/>
    <x v="11"/>
    <s v="Operações"/>
    <s v="Equipamentos"/>
    <n v="1453.51"/>
    <s v="PIX"/>
    <s v="Fernanda"/>
    <n v="7"/>
    <d v="2026-06-29T00:00:00"/>
    <s v="Pago"/>
    <d v="2026-07-02T00:00:00"/>
    <n v="1453.51"/>
    <n v="0"/>
    <n v="0"/>
    <x v="5"/>
  </r>
  <r>
    <d v="2026-06-23T00:00:00"/>
    <s v="NF-10409"/>
    <x v="6"/>
    <s v="Comercial"/>
    <s v="Consultoria"/>
    <n v="1802.99"/>
    <s v="PIX"/>
    <s v="Camila"/>
    <n v="45"/>
    <d v="2026-08-07T00:00:00"/>
    <s v="Em aberto"/>
    <m/>
    <n v="0"/>
    <n v="1802.99"/>
    <n v="0"/>
    <x v="5"/>
  </r>
  <r>
    <d v="2026-06-24T00:00:00"/>
    <s v="NF-10144"/>
    <x v="10"/>
    <s v="Operações"/>
    <s v="Consultoria"/>
    <n v="1251.49"/>
    <s v="PIX"/>
    <s v="Lucas"/>
    <n v="30"/>
    <d v="2026-07-24T00:00:00"/>
    <s v="Pago"/>
    <d v="2026-07-24T00:00:00"/>
    <n v="1251.49"/>
    <n v="0"/>
    <n v="0"/>
    <x v="5"/>
  </r>
  <r>
    <d v="2026-06-24T00:00:00"/>
    <s v="NF-10042"/>
    <x v="10"/>
    <s v="Comercial"/>
    <s v="Material de Escritório"/>
    <n v="2737.88"/>
    <s v="Boleto"/>
    <s v="Fernanda"/>
    <n v="30"/>
    <d v="2026-07-24T00:00:00"/>
    <s v="Pago"/>
    <d v="2026-07-25T00:00:00"/>
    <n v="2737.88"/>
    <n v="0"/>
    <n v="0"/>
    <x v="5"/>
  </r>
  <r>
    <d v="2026-06-24T00:00:00"/>
    <s v="NF-10413"/>
    <x v="0"/>
    <s v="Financeiro"/>
    <s v="Serviços"/>
    <n v="9963.17"/>
    <s v="Boleto"/>
    <s v="Bruno"/>
    <n v="30"/>
    <d v="2026-07-24T00:00:00"/>
    <s v="Em aberto"/>
    <m/>
    <n v="0"/>
    <n v="9963.17"/>
    <n v="0"/>
    <x v="5"/>
  </r>
  <r>
    <d v="2026-06-24T00:00:00"/>
    <s v="NF-10070"/>
    <x v="3"/>
    <s v="Administrativo"/>
    <s v="Serviços"/>
    <n v="4293.6899999999996"/>
    <s v="Boleto"/>
    <s v="Camila"/>
    <n v="15"/>
    <d v="2026-07-09T00:00:00"/>
    <s v="Pago"/>
    <d v="2026-07-13T00:00:00"/>
    <n v="4293.6899999999996"/>
    <n v="0"/>
    <n v="0"/>
    <x v="5"/>
  </r>
  <r>
    <d v="2026-06-25T00:00:00"/>
    <s v="NF-10425"/>
    <x v="0"/>
    <s v="Financeiro"/>
    <s v="Software"/>
    <n v="5030.08"/>
    <s v="Boleto"/>
    <s v="Lucas"/>
    <n v="30"/>
    <d v="2026-07-25T00:00:00"/>
    <s v="Pago"/>
    <d v="2026-08-03T00:00:00"/>
    <n v="5030.08"/>
    <n v="0"/>
    <n v="0"/>
    <x v="5"/>
  </r>
  <r>
    <d v="2026-06-25T00:00:00"/>
    <s v="NF-10543"/>
    <x v="8"/>
    <s v="Comercial"/>
    <s v="Equipamentos"/>
    <n v="818.6"/>
    <s v="Transferência"/>
    <s v="Lucas"/>
    <n v="15"/>
    <d v="2026-07-10T00:00:00"/>
    <s v="Pago"/>
    <d v="2026-07-19T00:00:00"/>
    <n v="818.6"/>
    <n v="0"/>
    <n v="0"/>
    <x v="5"/>
  </r>
  <r>
    <d v="2026-06-25T00:00:00"/>
    <s v="NF-10353"/>
    <x v="4"/>
    <s v="Comercial"/>
    <s v="Material de Escritório"/>
    <n v="3180.84"/>
    <s v="Transferência"/>
    <s v="Lucas"/>
    <n v="15"/>
    <d v="2026-07-10T00:00:00"/>
    <s v="Pago"/>
    <d v="2026-07-12T00:00:00"/>
    <n v="3180.84"/>
    <n v="0"/>
    <n v="0"/>
    <x v="5"/>
  </r>
  <r>
    <d v="2026-06-27T00:00:00"/>
    <s v="NF-10287"/>
    <x v="4"/>
    <s v="Comercial"/>
    <s v="Serviços"/>
    <n v="5215.21"/>
    <s v="PIX"/>
    <s v="Camila"/>
    <n v="7"/>
    <d v="2026-07-04T00:00:00"/>
    <s v="Em aberto"/>
    <m/>
    <n v="0"/>
    <n v="5215.21"/>
    <n v="0"/>
    <x v="5"/>
  </r>
  <r>
    <d v="2026-06-27T00:00:00"/>
    <s v="NF-10571"/>
    <x v="7"/>
    <s v="Operações"/>
    <s v="Equipamentos"/>
    <n v="492.78"/>
    <s v="PIX"/>
    <s v="Fernanda"/>
    <n v="15"/>
    <d v="2026-07-12T00:00:00"/>
    <s v="Pago"/>
    <d v="2026-07-14T00:00:00"/>
    <n v="492.78"/>
    <n v="0"/>
    <n v="0"/>
    <x v="5"/>
  </r>
  <r>
    <d v="2026-06-28T00:00:00"/>
    <s v="NF-10577"/>
    <x v="4"/>
    <s v="Administrativo"/>
    <s v="Material de Escritório"/>
    <n v="6532.53"/>
    <s v="Boleto"/>
    <s v="Fernanda"/>
    <n v="15"/>
    <d v="2026-07-13T00:00:00"/>
    <s v="Pago"/>
    <d v="2026-07-18T00:00:00"/>
    <n v="6532.53"/>
    <n v="0"/>
    <n v="0"/>
    <x v="5"/>
  </r>
  <r>
    <d v="2026-06-28T00:00:00"/>
    <s v="NF-10159"/>
    <x v="10"/>
    <s v="Comercial"/>
    <s v="Material de Escritório"/>
    <n v="1535.15"/>
    <s v="PIX"/>
    <s v="Bruno"/>
    <n v="30"/>
    <d v="2026-07-28T00:00:00"/>
    <s v="Pago"/>
    <d v="2026-07-28T00:00:00"/>
    <n v="1535.15"/>
    <n v="0"/>
    <n v="0"/>
    <x v="5"/>
  </r>
  <r>
    <d v="2026-06-28T00:00:00"/>
    <s v="NF-10531"/>
    <x v="6"/>
    <s v="Operações"/>
    <s v="Equipamentos"/>
    <n v="4547.2700000000004"/>
    <s v="Cartão"/>
    <s v="Ana"/>
    <n v="30"/>
    <d v="2026-07-28T00:00:00"/>
    <s v="Pago"/>
    <d v="2026-07-31T00:00:00"/>
    <n v="4547.2700000000004"/>
    <n v="0"/>
    <n v="0"/>
    <x v="5"/>
  </r>
  <r>
    <d v="2026-06-29T00:00:00"/>
    <s v="NF-10464"/>
    <x v="0"/>
    <s v="Administrativo"/>
    <s v="Consultoria"/>
    <n v="677.53"/>
    <s v="PIX"/>
    <s v="Bruno"/>
    <n v="30"/>
    <d v="2026-07-29T00:00:00"/>
    <s v="Pago"/>
    <d v="2026-08-03T00:00:00"/>
    <n v="677.53"/>
    <n v="0"/>
    <n v="0"/>
    <x v="5"/>
  </r>
  <r>
    <d v="2026-06-29T00:00:00"/>
    <s v="NF-10216"/>
    <x v="8"/>
    <s v="Comercial"/>
    <s v="Serviços"/>
    <n v="2571.58"/>
    <s v="Transferência"/>
    <s v="Fernanda"/>
    <n v="7"/>
    <d v="2026-07-06T00:00:00"/>
    <s v="Pago"/>
    <d v="2026-07-09T00:00:00"/>
    <n v="2571.58"/>
    <n v="0"/>
    <n v="0"/>
    <x v="5"/>
  </r>
  <r>
    <d v="2026-06-29T00:00:00"/>
    <s v="NF-10001"/>
    <x v="8"/>
    <s v="Administrativo"/>
    <s v="Software"/>
    <n v="817.08"/>
    <s v="Cartão"/>
    <s v="Fernanda"/>
    <n v="45"/>
    <d v="2026-08-13T00:00:00"/>
    <s v="Pago"/>
    <d v="2026-08-19T00:00:00"/>
    <n v="817.08"/>
    <n v="0"/>
    <n v="0"/>
    <x v="5"/>
  </r>
  <r>
    <d v="2026-06-29T00:00:00"/>
    <s v="NF-10554"/>
    <x v="5"/>
    <s v="Administrativo"/>
    <s v="Equipamentos"/>
    <n v="2081.12"/>
    <s v="Transferência"/>
    <s v="Fernanda"/>
    <n v="30"/>
    <d v="2026-07-29T00:00:00"/>
    <s v="Pago"/>
    <d v="2026-08-07T00:00:00"/>
    <n v="2081.12"/>
    <n v="0"/>
    <n v="0"/>
    <x v="5"/>
  </r>
  <r>
    <d v="2026-06-30T00:00:00"/>
    <s v="NF-10393"/>
    <x v="1"/>
    <s v="Financeiro"/>
    <s v="Software"/>
    <n v="3687.41"/>
    <s v="Cartão"/>
    <s v="Ana"/>
    <n v="30"/>
    <d v="2026-07-30T00:00:00"/>
    <s v="Em aberto"/>
    <m/>
    <n v="0"/>
    <n v="3687.41"/>
    <n v="0"/>
    <x v="5"/>
  </r>
  <r>
    <d v="2026-07-01T00:00:00"/>
    <s v="NF-10363"/>
    <x v="9"/>
    <s v="Comercial"/>
    <s v="Material de Escritório"/>
    <n v="627.95000000000005"/>
    <s v="Boleto"/>
    <s v="Ana"/>
    <n v="15"/>
    <d v="2026-07-16T00:00:00"/>
    <s v="Em aberto"/>
    <m/>
    <n v="0"/>
    <n v="627.95000000000005"/>
    <n v="0"/>
    <x v="6"/>
  </r>
  <r>
    <d v="2026-07-02T00:00:00"/>
    <s v="NF-10246"/>
    <x v="6"/>
    <s v="Comercial"/>
    <s v="Software"/>
    <n v="804.63"/>
    <s v="Boleto"/>
    <s v="Fernanda"/>
    <n v="30"/>
    <d v="2026-08-01T00:00:00"/>
    <s v="Pago"/>
    <d v="2026-08-07T00:00:00"/>
    <n v="804.63"/>
    <n v="0"/>
    <n v="0"/>
    <x v="6"/>
  </r>
  <r>
    <d v="2026-07-02T00:00:00"/>
    <s v="NF-10500"/>
    <x v="0"/>
    <s v="Financeiro"/>
    <s v="Serviços"/>
    <n v="1489.19"/>
    <s v="Transferência"/>
    <s v="Ana"/>
    <n v="45"/>
    <d v="2026-08-16T00:00:00"/>
    <s v="Pago"/>
    <d v="2026-08-19T00:00:00"/>
    <n v="1489.19"/>
    <n v="0"/>
    <n v="0"/>
    <x v="6"/>
  </r>
  <r>
    <d v="2026-07-03T00:00:00"/>
    <s v="NF-10248"/>
    <x v="2"/>
    <s v="Comercial"/>
    <s v="Material de Escritório"/>
    <n v="637.54"/>
    <s v="Transferência"/>
    <s v="Camila"/>
    <n v="30"/>
    <d v="2026-08-02T00:00:00"/>
    <s v="Em aberto"/>
    <m/>
    <n v="0"/>
    <n v="637.54"/>
    <n v="0"/>
    <x v="6"/>
  </r>
  <r>
    <d v="2026-07-03T00:00:00"/>
    <s v="NF-10228"/>
    <x v="11"/>
    <s v="Operações"/>
    <s v="Consultoria"/>
    <n v="952.8"/>
    <s v="Boleto"/>
    <s v="Lucas"/>
    <n v="45"/>
    <d v="2026-08-17T00:00:00"/>
    <s v="Pago"/>
    <d v="2026-08-28T00:00:00"/>
    <n v="952.8"/>
    <n v="0"/>
    <n v="0"/>
    <x v="6"/>
  </r>
  <r>
    <d v="2026-07-04T00:00:00"/>
    <s v="NF-10180"/>
    <x v="1"/>
    <s v="Operações"/>
    <s v="Consultoria"/>
    <n v="711.15"/>
    <s v="Transferência"/>
    <s v="Camila"/>
    <n v="45"/>
    <d v="2026-08-18T00:00:00"/>
    <s v="Em atraso"/>
    <m/>
    <n v="0"/>
    <n v="711.15"/>
    <n v="6"/>
    <x v="6"/>
  </r>
  <r>
    <d v="2026-07-04T00:00:00"/>
    <s v="NF-10533"/>
    <x v="1"/>
    <s v="Financeiro"/>
    <s v="Material de Escritório"/>
    <n v="1666.54"/>
    <s v="Boleto"/>
    <s v="Lucas"/>
    <n v="45"/>
    <d v="2026-08-18T00:00:00"/>
    <s v="Em atraso"/>
    <m/>
    <n v="0"/>
    <n v="1666.54"/>
    <n v="6"/>
    <x v="6"/>
  </r>
  <r>
    <d v="2026-07-04T00:00:00"/>
    <s v="NF-10286"/>
    <x v="0"/>
    <s v="Financeiro"/>
    <s v="Serviços"/>
    <n v="808.59"/>
    <s v="PIX"/>
    <s v="Camila"/>
    <n v="7"/>
    <d v="2026-07-11T00:00:00"/>
    <s v="Pago"/>
    <d v="2026-07-15T00:00:00"/>
    <n v="808.59"/>
    <n v="0"/>
    <n v="0"/>
    <x v="6"/>
  </r>
  <r>
    <d v="2026-07-05T00:00:00"/>
    <s v="NF-10557"/>
    <x v="5"/>
    <s v="Comercial"/>
    <s v="Equipamentos"/>
    <n v="1186.6199999999999"/>
    <s v="Boleto"/>
    <s v="Ana"/>
    <n v="30"/>
    <d v="2026-08-04T00:00:00"/>
    <s v="Em atraso"/>
    <m/>
    <n v="0"/>
    <n v="1186.6199999999999"/>
    <n v="20"/>
    <x v="6"/>
  </r>
  <r>
    <d v="2026-07-05T00:00:00"/>
    <s v="NF-10219"/>
    <x v="4"/>
    <s v="Comercial"/>
    <s v="Software"/>
    <n v="941.43"/>
    <s v="Cartão"/>
    <s v="Fernanda"/>
    <n v="45"/>
    <d v="2026-08-19T00:00:00"/>
    <s v="Pago"/>
    <d v="2026-08-22T00:00:00"/>
    <n v="941.43"/>
    <n v="0"/>
    <n v="0"/>
    <x v="6"/>
  </r>
  <r>
    <d v="2026-07-05T00:00:00"/>
    <s v="NF-10455"/>
    <x v="4"/>
    <s v="Comercial"/>
    <s v="Software"/>
    <n v="2175.62"/>
    <s v="Cartão"/>
    <s v="Lucas"/>
    <n v="7"/>
    <d v="2026-07-12T00:00:00"/>
    <s v="Em aberto"/>
    <m/>
    <n v="0"/>
    <n v="2175.62"/>
    <n v="0"/>
    <x v="6"/>
  </r>
  <r>
    <d v="2026-07-06T00:00:00"/>
    <s v="NF-10355"/>
    <x v="8"/>
    <s v="Comercial"/>
    <s v="Consultoria"/>
    <n v="2553.19"/>
    <s v="Transferência"/>
    <s v="Camila"/>
    <n v="15"/>
    <d v="2026-07-21T00:00:00"/>
    <s v="Pago"/>
    <d v="2026-07-21T00:00:00"/>
    <n v="2553.19"/>
    <n v="0"/>
    <n v="0"/>
    <x v="6"/>
  </r>
  <r>
    <d v="2026-07-06T00:00:00"/>
    <s v="NF-10262"/>
    <x v="2"/>
    <s v="Administrativo"/>
    <s v="Material de Escritório"/>
    <n v="3455.32"/>
    <s v="Boleto"/>
    <s v="Camila"/>
    <n v="45"/>
    <d v="2026-08-20T00:00:00"/>
    <s v="Em aberto"/>
    <m/>
    <n v="0"/>
    <n v="3455.32"/>
    <n v="0"/>
    <x v="6"/>
  </r>
  <r>
    <d v="2026-07-06T00:00:00"/>
    <s v="NF-10230"/>
    <x v="1"/>
    <s v="Financeiro"/>
    <s v="Material de Escritório"/>
    <n v="1834.36"/>
    <s v="Transferência"/>
    <s v="Fernanda"/>
    <n v="30"/>
    <d v="2026-08-05T00:00:00"/>
    <s v="Em aberto"/>
    <m/>
    <n v="0"/>
    <n v="1834.36"/>
    <n v="0"/>
    <x v="6"/>
  </r>
  <r>
    <d v="2026-07-06T00:00:00"/>
    <s v="NF-10173"/>
    <x v="7"/>
    <s v="Comercial"/>
    <s v="Software"/>
    <n v="788.61"/>
    <s v="PIX"/>
    <s v="Diego"/>
    <n v="30"/>
    <d v="2026-08-05T00:00:00"/>
    <s v="Pago"/>
    <d v="2026-08-09T00:00:00"/>
    <n v="788.61"/>
    <n v="0"/>
    <n v="0"/>
    <x v="6"/>
  </r>
  <r>
    <d v="2026-07-06T00:00:00"/>
    <s v="NF-10268"/>
    <x v="1"/>
    <s v="Financeiro"/>
    <s v="Material de Escritório"/>
    <n v="1046.74"/>
    <s v="Cartão"/>
    <s v="Lucas"/>
    <n v="30"/>
    <d v="2026-08-05T00:00:00"/>
    <s v="Em aberto"/>
    <m/>
    <n v="0"/>
    <n v="1046.74"/>
    <n v="0"/>
    <x v="6"/>
  </r>
  <r>
    <d v="2026-07-07T00:00:00"/>
    <s v="NF-10066"/>
    <x v="3"/>
    <s v="Comercial"/>
    <s v="Software"/>
    <n v="1021.96"/>
    <s v="PIX"/>
    <s v="Camila"/>
    <n v="15"/>
    <d v="2026-07-22T00:00:00"/>
    <s v="Em aberto"/>
    <m/>
    <n v="0"/>
    <n v="1021.96"/>
    <n v="0"/>
    <x v="6"/>
  </r>
  <r>
    <d v="2026-07-07T00:00:00"/>
    <s v="NF-10027"/>
    <x v="11"/>
    <s v="Financeiro"/>
    <s v="Material de Escritório"/>
    <n v="2330.66"/>
    <s v="PIX"/>
    <s v="Fernanda"/>
    <n v="30"/>
    <d v="2026-08-06T00:00:00"/>
    <s v="Pago"/>
    <d v="2026-08-08T00:00:00"/>
    <n v="2330.66"/>
    <n v="0"/>
    <n v="0"/>
    <x v="6"/>
  </r>
  <r>
    <d v="2026-07-07T00:00:00"/>
    <s v="NF-10469"/>
    <x v="1"/>
    <s v="Administrativo"/>
    <s v="Consultoria"/>
    <n v="1800.34"/>
    <s v="Boleto"/>
    <s v="Fernanda"/>
    <n v="45"/>
    <d v="2026-08-21T00:00:00"/>
    <s v="Em aberto"/>
    <m/>
    <n v="0"/>
    <n v="1800.34"/>
    <n v="0"/>
    <x v="6"/>
  </r>
  <r>
    <d v="2026-07-07T00:00:00"/>
    <s v="NF-10037"/>
    <x v="6"/>
    <s v="Comercial"/>
    <s v="Equipamentos"/>
    <n v="1672.47"/>
    <s v="PIX"/>
    <s v="Lucas"/>
    <n v="7"/>
    <d v="2026-07-14T00:00:00"/>
    <s v="Pago"/>
    <d v="2026-07-25T00:00:00"/>
    <n v="1672.47"/>
    <n v="0"/>
    <n v="0"/>
    <x v="6"/>
  </r>
  <r>
    <d v="2026-07-07T00:00:00"/>
    <s v="NF-10396"/>
    <x v="6"/>
    <s v="Comercial"/>
    <s v="Material de Escritório"/>
    <n v="1195.7"/>
    <s v="Transferência"/>
    <s v="Lucas"/>
    <n v="30"/>
    <d v="2026-08-06T00:00:00"/>
    <s v="Pago"/>
    <d v="2026-08-08T00:00:00"/>
    <n v="1195.7"/>
    <n v="0"/>
    <n v="0"/>
    <x v="6"/>
  </r>
  <r>
    <d v="2026-07-07T00:00:00"/>
    <s v="NF-10104"/>
    <x v="5"/>
    <s v="Administrativo"/>
    <s v="Material de Escritório"/>
    <n v="3991.27"/>
    <s v="Cartão"/>
    <s v="Camila"/>
    <n v="30"/>
    <d v="2026-08-06T00:00:00"/>
    <s v="Em aberto"/>
    <m/>
    <n v="0"/>
    <n v="3991.27"/>
    <n v="0"/>
    <x v="6"/>
  </r>
  <r>
    <d v="2026-07-08T00:00:00"/>
    <s v="NF-10521"/>
    <x v="0"/>
    <s v="Operações"/>
    <s v="Consultoria"/>
    <n v="1836.98"/>
    <s v="Boleto"/>
    <s v="Camila"/>
    <n v="15"/>
    <d v="2026-07-23T00:00:00"/>
    <s v="Pago"/>
    <d v="2026-07-30T00:00:00"/>
    <n v="1836.98"/>
    <n v="0"/>
    <n v="0"/>
    <x v="6"/>
  </r>
  <r>
    <d v="2026-07-08T00:00:00"/>
    <s v="NF-10576"/>
    <x v="11"/>
    <s v="Administrativo"/>
    <s v="Material de Escritório"/>
    <n v="714.37"/>
    <s v="Boleto"/>
    <s v="Fernanda"/>
    <n v="7"/>
    <d v="2026-07-15T00:00:00"/>
    <s v="Pago"/>
    <d v="2026-07-25T00:00:00"/>
    <n v="714.37"/>
    <n v="0"/>
    <n v="0"/>
    <x v="6"/>
  </r>
  <r>
    <d v="2026-07-08T00:00:00"/>
    <s v="NF-10006"/>
    <x v="9"/>
    <s v="Financeiro"/>
    <s v="Material de Escritório"/>
    <n v="2175.52"/>
    <s v="Transferência"/>
    <s v="Camila"/>
    <n v="30"/>
    <d v="2026-08-07T00:00:00"/>
    <s v="Pago"/>
    <d v="2026-08-17T00:00:00"/>
    <n v="2175.52"/>
    <n v="0"/>
    <n v="0"/>
    <x v="6"/>
  </r>
  <r>
    <d v="2026-07-08T00:00:00"/>
    <s v="NF-10337"/>
    <x v="3"/>
    <s v="Administrativo"/>
    <s v="Equipamentos"/>
    <n v="963.63"/>
    <s v="PIX"/>
    <s v="Lucas"/>
    <n v="30"/>
    <d v="2026-08-07T00:00:00"/>
    <s v="Pago"/>
    <d v="2026-08-12T00:00:00"/>
    <n v="963.63"/>
    <n v="0"/>
    <n v="0"/>
    <x v="6"/>
  </r>
  <r>
    <d v="2026-07-09T00:00:00"/>
    <s v="NF-10040"/>
    <x v="9"/>
    <s v="Comercial"/>
    <s v="Software"/>
    <n v="1669.47"/>
    <s v="Transferência"/>
    <s v="Ana"/>
    <n v="45"/>
    <d v="2026-08-23T00:00:00"/>
    <s v="Pago"/>
    <d v="2026-08-24T00:00:00"/>
    <n v="1669.47"/>
    <n v="0"/>
    <n v="0"/>
    <x v="6"/>
  </r>
  <r>
    <d v="2026-07-09T00:00:00"/>
    <s v="NF-10457"/>
    <x v="10"/>
    <s v="Financeiro"/>
    <s v="Consultoria"/>
    <n v="3038.55"/>
    <s v="Cartão"/>
    <s v="Diego"/>
    <n v="15"/>
    <d v="2026-07-24T00:00:00"/>
    <s v="Pago"/>
    <d v="2026-08-02T00:00:00"/>
    <n v="3038.55"/>
    <n v="0"/>
    <n v="0"/>
    <x v="6"/>
  </r>
  <r>
    <d v="2026-07-09T00:00:00"/>
    <s v="NF-10043"/>
    <x v="4"/>
    <s v="Financeiro"/>
    <s v="Material de Escritório"/>
    <n v="766.8"/>
    <s v="PIX"/>
    <s v="Camila"/>
    <n v="30"/>
    <d v="2026-08-08T00:00:00"/>
    <s v="Em atraso"/>
    <m/>
    <n v="0"/>
    <n v="766.8"/>
    <n v="16"/>
    <x v="6"/>
  </r>
  <r>
    <d v="2026-07-09T00:00:00"/>
    <s v="NF-10041"/>
    <x v="6"/>
    <s v="Comercial"/>
    <s v="Consultoria"/>
    <n v="2277.8000000000002"/>
    <s v="Cartão"/>
    <s v="Camila"/>
    <n v="15"/>
    <d v="2026-07-24T00:00:00"/>
    <s v="Pago"/>
    <d v="2026-08-02T00:00:00"/>
    <n v="2277.8000000000002"/>
    <n v="0"/>
    <n v="0"/>
    <x v="6"/>
  </r>
  <r>
    <d v="2026-07-09T00:00:00"/>
    <s v="NF-10196"/>
    <x v="10"/>
    <s v="Administrativo"/>
    <s v="Consultoria"/>
    <n v="950.76"/>
    <s v="PIX"/>
    <s v="Diego"/>
    <n v="30"/>
    <d v="2026-08-08T00:00:00"/>
    <s v="Em aberto"/>
    <m/>
    <n v="0"/>
    <n v="950.76"/>
    <n v="0"/>
    <x v="6"/>
  </r>
  <r>
    <d v="2026-07-09T00:00:00"/>
    <s v="NF-10188"/>
    <x v="10"/>
    <s v="Financeiro"/>
    <s v="Equipamentos"/>
    <n v="816.52"/>
    <s v="Boleto"/>
    <s v="Camila"/>
    <n v="45"/>
    <d v="2026-08-23T00:00:00"/>
    <s v="Pago"/>
    <d v="2026-09-01T00:00:00"/>
    <n v="816.52"/>
    <n v="0"/>
    <n v="0"/>
    <x v="6"/>
  </r>
  <r>
    <d v="2026-07-09T00:00:00"/>
    <s v="NF-10192"/>
    <x v="3"/>
    <s v="Operações"/>
    <s v="Equipamentos"/>
    <n v="319.7"/>
    <s v="Boleto"/>
    <s v="Fernanda"/>
    <n v="30"/>
    <d v="2026-08-08T00:00:00"/>
    <s v="Pago"/>
    <d v="2026-08-17T00:00:00"/>
    <n v="319.7"/>
    <n v="0"/>
    <n v="0"/>
    <x v="6"/>
  </r>
  <r>
    <d v="2026-07-09T00:00:00"/>
    <s v="NF-10096"/>
    <x v="3"/>
    <s v="Financeiro"/>
    <s v="Serviços"/>
    <n v="1285.45"/>
    <s v="Transferência"/>
    <s v="Camila"/>
    <n v="15"/>
    <d v="2026-07-24T00:00:00"/>
    <s v="Pago"/>
    <d v="2026-07-24T00:00:00"/>
    <n v="1285.45"/>
    <n v="0"/>
    <n v="0"/>
    <x v="6"/>
  </r>
  <r>
    <d v="2026-07-09T00:00:00"/>
    <s v="NF-10539"/>
    <x v="4"/>
    <s v="Financeiro"/>
    <s v="Material de Escritório"/>
    <n v="2990.55"/>
    <s v="Cartão"/>
    <s v="Ana"/>
    <n v="15"/>
    <d v="2026-07-24T00:00:00"/>
    <s v="Em aberto"/>
    <m/>
    <n v="0"/>
    <n v="2990.55"/>
    <n v="0"/>
    <x v="6"/>
  </r>
  <r>
    <d v="2026-07-09T00:00:00"/>
    <s v="NF-10089"/>
    <x v="7"/>
    <s v="Administrativo"/>
    <s v="Material de Escritório"/>
    <n v="919.29"/>
    <s v="Cartão"/>
    <s v="Bruno"/>
    <n v="30"/>
    <d v="2026-08-08T00:00:00"/>
    <s v="Pago"/>
    <d v="2026-08-15T00:00:00"/>
    <n v="919.29"/>
    <n v="0"/>
    <n v="0"/>
    <x v="6"/>
  </r>
  <r>
    <d v="2026-07-10T00:00:00"/>
    <s v="NF-10451"/>
    <x v="10"/>
    <s v="Operações"/>
    <s v="Software"/>
    <n v="2325.52"/>
    <s v="Transferência"/>
    <s v="Lucas"/>
    <n v="30"/>
    <d v="2026-08-09T00:00:00"/>
    <s v="Pago"/>
    <d v="2026-08-20T00:00:00"/>
    <n v="2325.52"/>
    <n v="0"/>
    <n v="0"/>
    <x v="6"/>
  </r>
  <r>
    <d v="2026-07-10T00:00:00"/>
    <s v="NF-10523"/>
    <x v="2"/>
    <s v="Financeiro"/>
    <s v="Serviços"/>
    <n v="2071.8000000000002"/>
    <s v="Boleto"/>
    <s v="Camila"/>
    <n v="30"/>
    <d v="2026-08-09T00:00:00"/>
    <s v="Pago"/>
    <d v="2026-08-13T00:00:00"/>
    <n v="2071.8000000000002"/>
    <n v="0"/>
    <n v="0"/>
    <x v="6"/>
  </r>
  <r>
    <d v="2026-07-10T00:00:00"/>
    <s v="NF-10084"/>
    <x v="8"/>
    <s v="Operações"/>
    <s v="Serviços"/>
    <n v="1919.13"/>
    <s v="Cartão"/>
    <s v="Diego"/>
    <n v="30"/>
    <d v="2026-08-09T00:00:00"/>
    <s v="Em aberto"/>
    <m/>
    <n v="0"/>
    <n v="1919.13"/>
    <n v="0"/>
    <x v="6"/>
  </r>
  <r>
    <d v="2026-07-10T00:00:00"/>
    <s v="NF-10398"/>
    <x v="11"/>
    <s v="Financeiro"/>
    <s v="Material de Escritório"/>
    <n v="2646.95"/>
    <s v="Transferência"/>
    <s v="Diego"/>
    <n v="30"/>
    <d v="2026-08-09T00:00:00"/>
    <s v="Em aberto"/>
    <m/>
    <n v="0"/>
    <n v="2646.95"/>
    <n v="0"/>
    <x v="6"/>
  </r>
  <r>
    <d v="2026-07-11T00:00:00"/>
    <s v="NF-10379"/>
    <x v="2"/>
    <s v="Operações"/>
    <s v="Serviços"/>
    <n v="3564.51"/>
    <s v="Transferência"/>
    <s v="Diego"/>
    <n v="30"/>
    <d v="2026-08-10T00:00:00"/>
    <s v="Pago"/>
    <d v="2026-08-12T00:00:00"/>
    <n v="3564.51"/>
    <n v="0"/>
    <n v="0"/>
    <x v="6"/>
  </r>
  <r>
    <d v="2026-07-11T00:00:00"/>
    <s v="NF-10372"/>
    <x v="1"/>
    <s v="Administrativo"/>
    <s v="Software"/>
    <n v="1518.85"/>
    <s v="PIX"/>
    <s v="Lucas"/>
    <n v="30"/>
    <d v="2026-08-10T00:00:00"/>
    <s v="Pago"/>
    <d v="2026-08-18T00:00:00"/>
    <n v="1518.85"/>
    <n v="0"/>
    <n v="0"/>
    <x v="6"/>
  </r>
  <r>
    <d v="2026-07-11T00:00:00"/>
    <s v="NF-10026"/>
    <x v="5"/>
    <s v="Comercial"/>
    <s v="Material de Escritório"/>
    <n v="2258.0100000000002"/>
    <s v="Cartão"/>
    <s v="Ana"/>
    <n v="30"/>
    <d v="2026-08-10T00:00:00"/>
    <s v="Pago"/>
    <d v="2026-08-19T00:00:00"/>
    <n v="2258.0100000000002"/>
    <n v="0"/>
    <n v="0"/>
    <x v="6"/>
  </r>
  <r>
    <d v="2026-07-11T00:00:00"/>
    <s v="NF-10522"/>
    <x v="1"/>
    <s v="Comercial"/>
    <s v="Material de Escritório"/>
    <n v="1680.69"/>
    <s v="Cartão"/>
    <s v="Diego"/>
    <n v="30"/>
    <d v="2026-08-10T00:00:00"/>
    <s v="Pago"/>
    <d v="2026-08-10T00:00:00"/>
    <n v="1680.69"/>
    <n v="0"/>
    <n v="0"/>
    <x v="6"/>
  </r>
  <r>
    <d v="2026-07-12T00:00:00"/>
    <s v="NF-10142"/>
    <x v="1"/>
    <s v="Operações"/>
    <s v="Software"/>
    <n v="1838.64"/>
    <s v="Transferência"/>
    <s v="Ana"/>
    <n v="15"/>
    <d v="2026-07-27T00:00:00"/>
    <s v="Pago"/>
    <d v="2026-08-05T00:00:00"/>
    <n v="1838.64"/>
    <n v="0"/>
    <n v="0"/>
    <x v="6"/>
  </r>
  <r>
    <d v="2026-07-13T00:00:00"/>
    <s v="NF-10416"/>
    <x v="5"/>
    <s v="Financeiro"/>
    <s v="Software"/>
    <n v="1211.48"/>
    <s v="Boleto"/>
    <s v="Diego"/>
    <n v="30"/>
    <d v="2026-08-12T00:00:00"/>
    <s v="Pago"/>
    <d v="2026-08-15T00:00:00"/>
    <n v="1211.48"/>
    <n v="0"/>
    <n v="0"/>
    <x v="6"/>
  </r>
  <r>
    <d v="2026-07-13T00:00:00"/>
    <s v="NF-10333"/>
    <x v="0"/>
    <s v="Administrativo"/>
    <s v="Software"/>
    <n v="1632.77"/>
    <s v="Boleto"/>
    <s v="Ana"/>
    <n v="15"/>
    <d v="2026-07-28T00:00:00"/>
    <s v="Pago"/>
    <d v="2026-08-03T00:00:00"/>
    <n v="1632.77"/>
    <n v="0"/>
    <n v="0"/>
    <x v="6"/>
  </r>
  <r>
    <d v="2026-07-14T00:00:00"/>
    <s v="NF-10272"/>
    <x v="5"/>
    <s v="Operações"/>
    <s v="Material de Escritório"/>
    <n v="721.47"/>
    <s v="Boleto"/>
    <s v="Diego"/>
    <n v="45"/>
    <d v="2026-08-28T00:00:00"/>
    <s v="Pago"/>
    <d v="2026-09-02T00:00:00"/>
    <n v="721.47"/>
    <n v="0"/>
    <n v="0"/>
    <x v="6"/>
  </r>
  <r>
    <d v="2026-07-14T00:00:00"/>
    <s v="NF-10527"/>
    <x v="10"/>
    <s v="Financeiro"/>
    <s v="Consultoria"/>
    <n v="2524.46"/>
    <s v="Boleto"/>
    <s v="Lucas"/>
    <n v="30"/>
    <d v="2026-08-13T00:00:00"/>
    <s v="Pago"/>
    <d v="2026-08-17T00:00:00"/>
    <n v="2524.46"/>
    <n v="0"/>
    <n v="0"/>
    <x v="6"/>
  </r>
  <r>
    <d v="2026-07-14T00:00:00"/>
    <s v="NF-10349"/>
    <x v="8"/>
    <s v="Comercial"/>
    <s v="Software"/>
    <n v="559.54"/>
    <s v="Boleto"/>
    <s v="Camila"/>
    <n v="30"/>
    <d v="2026-08-13T00:00:00"/>
    <s v="Pago"/>
    <d v="2026-08-22T00:00:00"/>
    <n v="559.54"/>
    <n v="0"/>
    <n v="0"/>
    <x v="6"/>
  </r>
  <r>
    <d v="2026-07-15T00:00:00"/>
    <s v="NF-10477"/>
    <x v="5"/>
    <s v="Administrativo"/>
    <s v="Consultoria"/>
    <n v="1406.96"/>
    <s v="Transferência"/>
    <s v="Ana"/>
    <n v="7"/>
    <d v="2026-07-22T00:00:00"/>
    <s v="Pago"/>
    <d v="2026-07-27T00:00:00"/>
    <n v="1406.96"/>
    <n v="0"/>
    <n v="0"/>
    <x v="6"/>
  </r>
  <r>
    <d v="2026-07-16T00:00:00"/>
    <s v="NF-10540"/>
    <x v="8"/>
    <s v="Financeiro"/>
    <s v="Consultoria"/>
    <n v="1767.32"/>
    <s v="Cartão"/>
    <s v="Camila"/>
    <n v="30"/>
    <d v="2026-08-15T00:00:00"/>
    <s v="Pago"/>
    <d v="2026-08-22T00:00:00"/>
    <n v="1767.32"/>
    <n v="0"/>
    <n v="0"/>
    <x v="6"/>
  </r>
  <r>
    <d v="2026-07-16T00:00:00"/>
    <s v="NF-10302"/>
    <x v="8"/>
    <s v="Comercial"/>
    <s v="Serviços"/>
    <n v="964.74"/>
    <s v="Boleto"/>
    <s v="Camila"/>
    <n v="30"/>
    <d v="2026-08-15T00:00:00"/>
    <s v="Em aberto"/>
    <m/>
    <n v="0"/>
    <n v="964.74"/>
    <n v="0"/>
    <x v="6"/>
  </r>
  <r>
    <d v="2026-07-16T00:00:00"/>
    <s v="NF-10373"/>
    <x v="11"/>
    <s v="Operações"/>
    <s v="Consultoria"/>
    <n v="786.74"/>
    <s v="PIX"/>
    <s v="Diego"/>
    <n v="15"/>
    <d v="2026-07-31T00:00:00"/>
    <s v="Pago"/>
    <d v="2026-08-03T00:00:00"/>
    <n v="786.74"/>
    <n v="0"/>
    <n v="0"/>
    <x v="6"/>
  </r>
  <r>
    <d v="2026-07-17T00:00:00"/>
    <s v="NF-10256"/>
    <x v="11"/>
    <s v="Financeiro"/>
    <s v="Material de Escritório"/>
    <n v="735.07"/>
    <s v="Transferência"/>
    <s v="Diego"/>
    <n v="45"/>
    <d v="2026-08-31T00:00:00"/>
    <s v="Pago"/>
    <d v="2026-09-06T00:00:00"/>
    <n v="735.07"/>
    <n v="0"/>
    <n v="0"/>
    <x v="6"/>
  </r>
  <r>
    <d v="2026-07-17T00:00:00"/>
    <s v="NF-10202"/>
    <x v="8"/>
    <s v="Comercial"/>
    <s v="Serviços"/>
    <n v="2649.89"/>
    <s v="Cartão"/>
    <s v="Diego"/>
    <n v="30"/>
    <d v="2026-08-16T00:00:00"/>
    <s v="Pago"/>
    <d v="2026-08-22T00:00:00"/>
    <n v="2649.89"/>
    <n v="0"/>
    <n v="0"/>
    <x v="6"/>
  </r>
  <r>
    <d v="2026-07-17T00:00:00"/>
    <s v="NF-10243"/>
    <x v="2"/>
    <s v="Financeiro"/>
    <s v="Serviços"/>
    <n v="993.85"/>
    <s v="Boleto"/>
    <s v="Camila"/>
    <n v="15"/>
    <d v="2026-08-01T00:00:00"/>
    <s v="Pago"/>
    <d v="2026-08-10T00:00:00"/>
    <n v="993.85"/>
    <n v="0"/>
    <n v="0"/>
    <x v="6"/>
  </r>
  <r>
    <d v="2026-07-18T00:00:00"/>
    <s v="NF-10276"/>
    <x v="0"/>
    <s v="Comercial"/>
    <s v="Serviços"/>
    <n v="1047.8800000000001"/>
    <s v="PIX"/>
    <s v="Camila"/>
    <n v="15"/>
    <d v="2026-08-02T00:00:00"/>
    <s v="Pago"/>
    <d v="2026-08-12T00:00:00"/>
    <n v="1047.8800000000001"/>
    <n v="0"/>
    <n v="0"/>
    <x v="6"/>
  </r>
  <r>
    <d v="2026-07-18T00:00:00"/>
    <s v="NF-10067"/>
    <x v="11"/>
    <s v="Comercial"/>
    <s v="Serviços"/>
    <n v="621.72"/>
    <s v="Boleto"/>
    <s v="Bruno"/>
    <n v="45"/>
    <d v="2026-09-01T00:00:00"/>
    <s v="Em atraso"/>
    <m/>
    <n v="0"/>
    <n v="621.72"/>
    <n v="1"/>
    <x v="6"/>
  </r>
  <r>
    <d v="2026-07-19T00:00:00"/>
    <s v="NF-10320"/>
    <x v="11"/>
    <s v="Comercial"/>
    <s v="Software"/>
    <n v="3330.97"/>
    <s v="PIX"/>
    <s v="Bruno"/>
    <n v="7"/>
    <d v="2026-07-26T00:00:00"/>
    <s v="Em atraso"/>
    <m/>
    <n v="0"/>
    <n v="3330.97"/>
    <n v="29"/>
    <x v="6"/>
  </r>
  <r>
    <d v="2026-07-19T00:00:00"/>
    <s v="NF-10094"/>
    <x v="8"/>
    <s v="Comercial"/>
    <s v="Serviços"/>
    <n v="756.44"/>
    <s v="Cartão"/>
    <s v="Diego"/>
    <n v="15"/>
    <d v="2026-08-03T00:00:00"/>
    <s v="Pago"/>
    <d v="2026-08-03T00:00:00"/>
    <n v="756.44"/>
    <n v="0"/>
    <n v="0"/>
    <x v="6"/>
  </r>
  <r>
    <d v="2026-07-19T00:00:00"/>
    <s v="NF-10203"/>
    <x v="7"/>
    <s v="Operações"/>
    <s v="Software"/>
    <n v="546.02"/>
    <s v="PIX"/>
    <s v="Lucas"/>
    <n v="30"/>
    <d v="2026-08-18T00:00:00"/>
    <s v="Pago"/>
    <d v="2026-08-26T00:00:00"/>
    <n v="546.02"/>
    <n v="0"/>
    <n v="0"/>
    <x v="6"/>
  </r>
  <r>
    <d v="2026-07-20T00:00:00"/>
    <s v="NF-10129"/>
    <x v="5"/>
    <s v="Operações"/>
    <s v="Software"/>
    <n v="977.66"/>
    <s v="Cartão"/>
    <s v="Fernanda"/>
    <n v="30"/>
    <d v="2026-08-19T00:00:00"/>
    <s v="Pago"/>
    <d v="2026-08-27T00:00:00"/>
    <n v="977.66"/>
    <n v="0"/>
    <n v="0"/>
    <x v="6"/>
  </r>
  <r>
    <d v="2026-07-20T00:00:00"/>
    <s v="NF-10260"/>
    <x v="10"/>
    <s v="Administrativo"/>
    <s v="Material de Escritório"/>
    <n v="909.76"/>
    <s v="PIX"/>
    <s v="Camila"/>
    <n v="30"/>
    <d v="2026-08-19T00:00:00"/>
    <s v="Pago"/>
    <d v="2026-08-20T00:00:00"/>
    <n v="909.76"/>
    <n v="0"/>
    <n v="0"/>
    <x v="6"/>
  </r>
  <r>
    <d v="2026-07-21T00:00:00"/>
    <s v="NF-10088"/>
    <x v="11"/>
    <s v="Administrativo"/>
    <s v="Consultoria"/>
    <n v="1693.82"/>
    <s v="Transferência"/>
    <s v="Fernanda"/>
    <n v="30"/>
    <d v="2026-08-20T00:00:00"/>
    <s v="Em aberto"/>
    <m/>
    <n v="0"/>
    <n v="1693.82"/>
    <n v="0"/>
    <x v="6"/>
  </r>
  <r>
    <d v="2026-07-22T00:00:00"/>
    <s v="NF-10012"/>
    <x v="9"/>
    <s v="Comercial"/>
    <s v="Equipamentos"/>
    <n v="577.78"/>
    <s v="PIX"/>
    <s v="Bruno"/>
    <n v="15"/>
    <d v="2026-08-06T00:00:00"/>
    <s v="Pago"/>
    <d v="2026-08-09T00:00:00"/>
    <n v="577.78"/>
    <n v="0"/>
    <n v="0"/>
    <x v="6"/>
  </r>
  <r>
    <d v="2026-07-22T00:00:00"/>
    <s v="NF-10247"/>
    <x v="5"/>
    <s v="Financeiro"/>
    <s v="Serviços"/>
    <n v="1989.45"/>
    <s v="PIX"/>
    <s v="Bruno"/>
    <n v="30"/>
    <d v="2026-08-21T00:00:00"/>
    <s v="Pago"/>
    <d v="2026-08-21T00:00:00"/>
    <n v="1989.45"/>
    <n v="0"/>
    <n v="0"/>
    <x v="6"/>
  </r>
  <r>
    <d v="2026-07-23T00:00:00"/>
    <s v="NF-10354"/>
    <x v="6"/>
    <s v="Comercial"/>
    <s v="Serviços"/>
    <n v="1520.8"/>
    <s v="Cartão"/>
    <s v="Lucas"/>
    <n v="30"/>
    <d v="2026-08-22T00:00:00"/>
    <s v="Pago"/>
    <d v="2026-08-24T00:00:00"/>
    <n v="1520.8"/>
    <n v="0"/>
    <n v="0"/>
    <x v="6"/>
  </r>
  <r>
    <d v="2026-07-23T00:00:00"/>
    <s v="NF-10444"/>
    <x v="11"/>
    <s v="Comercial"/>
    <s v="Equipamentos"/>
    <n v="7416.04"/>
    <s v="PIX"/>
    <s v="Bruno"/>
    <n v="30"/>
    <d v="2026-08-22T00:00:00"/>
    <s v="Pago"/>
    <d v="2026-08-22T00:00:00"/>
    <n v="7416.04"/>
    <n v="0"/>
    <n v="0"/>
    <x v="6"/>
  </r>
  <r>
    <d v="2026-07-23T00:00:00"/>
    <s v="NF-10541"/>
    <x v="9"/>
    <s v="Administrativo"/>
    <s v="Consultoria"/>
    <n v="1074.51"/>
    <s v="Transferência"/>
    <s v="Fernanda"/>
    <n v="30"/>
    <d v="2026-08-22T00:00:00"/>
    <s v="Pago"/>
    <d v="2026-09-02T00:00:00"/>
    <n v="1074.51"/>
    <n v="0"/>
    <n v="0"/>
    <x v="6"/>
  </r>
  <r>
    <d v="2026-07-23T00:00:00"/>
    <s v="NF-10030"/>
    <x v="3"/>
    <s v="Comercial"/>
    <s v="Equipamentos"/>
    <n v="2568.9899999999998"/>
    <s v="PIX"/>
    <s v="Ana"/>
    <n v="7"/>
    <d v="2026-07-30T00:00:00"/>
    <s v="Pago"/>
    <d v="2026-08-01T00:00:00"/>
    <n v="2568.9899999999998"/>
    <n v="0"/>
    <n v="0"/>
    <x v="6"/>
  </r>
  <r>
    <d v="2026-07-24T00:00:00"/>
    <s v="NF-10199"/>
    <x v="3"/>
    <s v="Administrativo"/>
    <s v="Consultoria"/>
    <n v="833.68"/>
    <s v="Boleto"/>
    <s v="Lucas"/>
    <n v="30"/>
    <d v="2026-08-23T00:00:00"/>
    <s v="Pago"/>
    <d v="2026-09-03T00:00:00"/>
    <n v="833.68"/>
    <n v="0"/>
    <n v="0"/>
    <x v="6"/>
  </r>
  <r>
    <d v="2026-07-24T00:00:00"/>
    <s v="NF-10158"/>
    <x v="3"/>
    <s v="Administrativo"/>
    <s v="Serviços"/>
    <n v="3412"/>
    <s v="PIX"/>
    <s v="Diego"/>
    <n v="15"/>
    <d v="2026-08-08T00:00:00"/>
    <s v="Pago"/>
    <d v="2026-08-19T00:00:00"/>
    <n v="3412"/>
    <n v="0"/>
    <n v="0"/>
    <x v="6"/>
  </r>
  <r>
    <d v="2026-07-25T00:00:00"/>
    <s v="NF-10535"/>
    <x v="3"/>
    <s v="Financeiro"/>
    <s v="Consultoria"/>
    <n v="2015.05"/>
    <s v="PIX"/>
    <s v="Bruno"/>
    <n v="30"/>
    <d v="2026-08-24T00:00:00"/>
    <s v="Pago"/>
    <d v="2026-08-25T00:00:00"/>
    <n v="2015.05"/>
    <n v="0"/>
    <n v="0"/>
    <x v="6"/>
  </r>
  <r>
    <d v="2026-07-25T00:00:00"/>
    <s v="NF-10095"/>
    <x v="0"/>
    <s v="Comercial"/>
    <s v="Equipamentos"/>
    <n v="942.98"/>
    <s v="Boleto"/>
    <s v="Fernanda"/>
    <n v="30"/>
    <d v="2026-08-24T00:00:00"/>
    <s v="Em atraso"/>
    <m/>
    <n v="0"/>
    <n v="942.98"/>
    <n v="1"/>
    <x v="6"/>
  </r>
  <r>
    <d v="2026-07-25T00:00:00"/>
    <s v="NF-10072"/>
    <x v="8"/>
    <s v="Operações"/>
    <s v="Equipamentos"/>
    <n v="1161.1500000000001"/>
    <s v="PIX"/>
    <s v="Fernanda"/>
    <n v="15"/>
    <d v="2026-08-09T00:00:00"/>
    <s v="Pago"/>
    <d v="2026-08-14T00:00:00"/>
    <n v="1161.1500000000001"/>
    <n v="0"/>
    <n v="0"/>
    <x v="6"/>
  </r>
  <r>
    <d v="2026-07-25T00:00:00"/>
    <s v="NF-10145"/>
    <x v="3"/>
    <s v="Financeiro"/>
    <s v="Equipamentos"/>
    <n v="6192.7"/>
    <s v="Transferência"/>
    <s v="Fernanda"/>
    <n v="45"/>
    <d v="2026-09-08T00:00:00"/>
    <s v="Pago"/>
    <d v="2026-09-09T00:00:00"/>
    <n v="6192.7"/>
    <n v="0"/>
    <n v="0"/>
    <x v="6"/>
  </r>
  <r>
    <d v="2026-07-26T00:00:00"/>
    <s v="NF-10153"/>
    <x v="6"/>
    <s v="Financeiro"/>
    <s v="Software"/>
    <n v="912.5"/>
    <s v="Transferência"/>
    <s v="Fernanda"/>
    <n v="30"/>
    <d v="2026-08-25T00:00:00"/>
    <s v="Pago"/>
    <d v="2026-09-03T00:00:00"/>
    <n v="912.5"/>
    <n v="0"/>
    <n v="0"/>
    <x v="6"/>
  </r>
  <r>
    <d v="2026-07-26T00:00:00"/>
    <s v="NF-10211"/>
    <x v="5"/>
    <s v="Administrativo"/>
    <s v="Equipamentos"/>
    <n v="1508.43"/>
    <s v="Boleto"/>
    <s v="Diego"/>
    <n v="7"/>
    <d v="2026-08-02T00:00:00"/>
    <s v="Em aberto"/>
    <m/>
    <n v="0"/>
    <n v="1508.43"/>
    <n v="0"/>
    <x v="6"/>
  </r>
  <r>
    <d v="2026-07-27T00:00:00"/>
    <s v="NF-10264"/>
    <x v="0"/>
    <s v="Administrativo"/>
    <s v="Equipamentos"/>
    <n v="1177.1099999999999"/>
    <s v="Boleto"/>
    <s v="Diego"/>
    <n v="30"/>
    <d v="2026-08-26T00:00:00"/>
    <s v="Em atraso"/>
    <m/>
    <n v="0"/>
    <n v="1177.1099999999999"/>
    <n v="1"/>
    <x v="6"/>
  </r>
  <r>
    <d v="2026-07-27T00:00:00"/>
    <s v="NF-10098"/>
    <x v="10"/>
    <s v="Operações"/>
    <s v="Serviços"/>
    <n v="1908.99"/>
    <s v="Boleto"/>
    <s v="Fernanda"/>
    <n v="15"/>
    <d v="2026-08-11T00:00:00"/>
    <s v="Pago"/>
    <d v="2026-08-12T00:00:00"/>
    <n v="1908.99"/>
    <n v="0"/>
    <n v="0"/>
    <x v="6"/>
  </r>
  <r>
    <d v="2026-07-27T00:00:00"/>
    <s v="NF-10309"/>
    <x v="7"/>
    <s v="Operações"/>
    <s v="Equipamentos"/>
    <n v="2232.6799999999998"/>
    <s v="Cartão"/>
    <s v="Bruno"/>
    <n v="7"/>
    <d v="2026-08-03T00:00:00"/>
    <s v="Pago"/>
    <d v="2026-08-05T00:00:00"/>
    <n v="2232.6799999999998"/>
    <n v="0"/>
    <n v="0"/>
    <x v="6"/>
  </r>
  <r>
    <d v="2026-07-27T00:00:00"/>
    <s v="NF-10336"/>
    <x v="2"/>
    <s v="Operações"/>
    <s v="Software"/>
    <n v="5959.18"/>
    <s v="Transferência"/>
    <s v="Diego"/>
    <n v="30"/>
    <d v="2026-08-26T00:00:00"/>
    <s v="Pago"/>
    <d v="2026-09-06T00:00:00"/>
    <n v="5959.18"/>
    <n v="0"/>
    <n v="0"/>
    <x v="6"/>
  </r>
  <r>
    <d v="2026-07-27T00:00:00"/>
    <s v="NF-10038"/>
    <x v="5"/>
    <s v="Comercial"/>
    <s v="Consultoria"/>
    <n v="768.1"/>
    <s v="PIX"/>
    <s v="Ana"/>
    <n v="45"/>
    <d v="2026-09-10T00:00:00"/>
    <s v="Pago"/>
    <d v="2026-09-10T00:00:00"/>
    <n v="768.1"/>
    <n v="0"/>
    <n v="0"/>
    <x v="6"/>
  </r>
  <r>
    <d v="2026-07-30T00:00:00"/>
    <s v="NF-10010"/>
    <x v="4"/>
    <s v="Operações"/>
    <s v="Software"/>
    <n v="597.73"/>
    <s v="Transferência"/>
    <s v="Ana"/>
    <n v="7"/>
    <d v="2026-08-06T00:00:00"/>
    <s v="Em aberto"/>
    <m/>
    <n v="0"/>
    <n v="597.73"/>
    <n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0D451-6253-4471-893E-B788A4EF104F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0:B23" firstHeaderRow="1" firstDataRow="1" firstDataCol="1"/>
  <pivotFields count="16">
    <pivotField numFmtId="14" showAll="0"/>
    <pivotField showAll="0"/>
    <pivotField axis="axisRow" showAll="0">
      <items count="13">
        <item x="5"/>
        <item x="11"/>
        <item x="0"/>
        <item x="8"/>
        <item x="9"/>
        <item x="2"/>
        <item x="4"/>
        <item x="1"/>
        <item x="7"/>
        <item x="3"/>
        <item x="10"/>
        <item x="6"/>
        <item t="default"/>
      </items>
    </pivotField>
    <pivotField showAll="0"/>
    <pivotField showAll="0"/>
    <pivotField dataField="1" numFmtId="164" showAll="0"/>
    <pivotField showAll="0"/>
    <pivotField showAll="0"/>
    <pivotField showAll="0"/>
    <pivotField numFmtId="14" showAll="0"/>
    <pivotField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_Operacao" fld="5" baseField="0" baseItem="0" numFmtId="164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BE893-41AA-4E96-9F9C-7D91AE648C56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6">
    <pivotField numFmtId="14"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numFmtId="164" showAll="0"/>
    <pivotField numFmtId="164"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_Operacao" fld="5" baseField="0" baseItem="0" numFmtId="16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457E2-E835-4EA7-8B61-E18DAF69C32D}" name="Tabela dinâ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26:B34" firstHeaderRow="1" firstDataRow="1" firstDataCol="1"/>
  <pivotFields count="16">
    <pivotField numFmtId="14"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numFmtId="14" showAll="0"/>
    <pivotField showAll="0"/>
    <pivotField showAll="0"/>
    <pivotField numFmtId="164" showAll="0"/>
    <pivotField numFmtId="164"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_Operacao" fld="5" baseField="0" baseItem="0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seDados" displayName="tblBaseDados" ref="A1:P601">
  <autoFilter ref="A1:P601" xr:uid="{00000000-0009-0000-0100-000001000000}"/>
  <tableColumns count="16">
    <tableColumn id="1" xr3:uid="{00000000-0010-0000-0000-000001000000}" name="Data"/>
    <tableColumn id="2" xr3:uid="{00000000-0010-0000-0000-000002000000}" name="Nota_Fiscal"/>
    <tableColumn id="3" xr3:uid="{00000000-0010-0000-0000-000003000000}" name="Cliente"/>
    <tableColumn id="4" xr3:uid="{00000000-0010-0000-0000-000004000000}" name="Departamento"/>
    <tableColumn id="5" xr3:uid="{00000000-0010-0000-0000-000005000000}" name="Categoria"/>
    <tableColumn id="6" xr3:uid="{00000000-0010-0000-0000-000006000000}" name="Valor_Operacao"/>
    <tableColumn id="7" xr3:uid="{00000000-0010-0000-0000-000007000000}" name="Forma_Pagamento"/>
    <tableColumn id="8" xr3:uid="{00000000-0010-0000-0000-000008000000}" name="Responsavel"/>
    <tableColumn id="9" xr3:uid="{00000000-0010-0000-0000-000009000000}" name="Prazo_Dias"/>
    <tableColumn id="10" xr3:uid="{00000000-0010-0000-0000-00000A000000}" name="Data_Vencimento"/>
    <tableColumn id="11" xr3:uid="{00000000-0010-0000-0000-00000B000000}" name="Status"/>
    <tableColumn id="12" xr3:uid="{00000000-0010-0000-0000-00000C000000}" name="Data_Pagamento"/>
    <tableColumn id="13" xr3:uid="{00000000-0010-0000-0000-00000D000000}" name="Valor_Pago"/>
    <tableColumn id="14" xr3:uid="{00000000-0010-0000-0000-00000E000000}" name="Valor_Em_Aberto"/>
    <tableColumn id="15" xr3:uid="{00000000-0010-0000-0000-00000F000000}" name="Dias_Atraso"/>
    <tableColumn id="16" xr3:uid="{00000000-0010-0000-0000-000010000000}" name="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pane ySplit="1" topLeftCell="A2" activePane="bottomLeft" state="frozen"/>
      <selection pane="bottomLeft" activeCell="L15" sqref="L15"/>
    </sheetView>
  </sheetViews>
  <sheetFormatPr defaultRowHeight="15"/>
  <cols>
    <col min="1" max="1" width="18" customWidth="1"/>
    <col min="2" max="2" width="2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1"/>
  <sheetViews>
    <sheetView showGridLines="0" workbookViewId="0">
      <pane ySplit="1" topLeftCell="A2" activePane="bottomLeft" state="frozen"/>
      <selection pane="bottomLeft" activeCell="C2" sqref="C2"/>
    </sheetView>
  </sheetViews>
  <sheetFormatPr defaultRowHeight="15"/>
  <cols>
    <col min="1" max="1" width="21" customWidth="1"/>
    <col min="2" max="7" width="28.42578125" customWidth="1"/>
    <col min="8" max="8" width="21.140625" customWidth="1"/>
    <col min="9" max="9" width="15.7109375" customWidth="1"/>
    <col min="10" max="10" width="28.42578125" customWidth="1"/>
    <col min="11" max="11" width="20" customWidth="1"/>
    <col min="12" max="12" width="22" customWidth="1"/>
    <col min="13" max="13" width="21" customWidth="1"/>
    <col min="14" max="14" width="28.42578125" customWidth="1"/>
    <col min="15" max="15" width="13.28515625" customWidth="1"/>
    <col min="16" max="16" width="15.5703125" customWidth="1"/>
  </cols>
  <sheetData>
    <row r="1" spans="1:1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s="2">
        <v>46023</v>
      </c>
      <c r="B2" t="s">
        <v>32</v>
      </c>
      <c r="C2" t="s">
        <v>33</v>
      </c>
      <c r="D2" t="s">
        <v>34</v>
      </c>
      <c r="E2" t="s">
        <v>35</v>
      </c>
      <c r="F2" s="3">
        <v>2279.75</v>
      </c>
      <c r="G2" t="s">
        <v>36</v>
      </c>
      <c r="H2" t="s">
        <v>37</v>
      </c>
      <c r="I2">
        <v>30</v>
      </c>
      <c r="J2" s="2">
        <v>46053</v>
      </c>
      <c r="K2" t="s">
        <v>38</v>
      </c>
      <c r="L2" s="2"/>
      <c r="M2" s="3">
        <v>0</v>
      </c>
      <c r="N2" s="3">
        <v>2279.75</v>
      </c>
      <c r="O2">
        <v>0</v>
      </c>
      <c r="P2" t="s">
        <v>39</v>
      </c>
    </row>
    <row r="3" spans="1:16">
      <c r="A3" s="2">
        <v>46023</v>
      </c>
      <c r="B3" t="s">
        <v>40</v>
      </c>
      <c r="C3" t="s">
        <v>41</v>
      </c>
      <c r="D3" t="s">
        <v>42</v>
      </c>
      <c r="E3" t="s">
        <v>43</v>
      </c>
      <c r="F3" s="3">
        <v>1992.26</v>
      </c>
      <c r="G3" t="s">
        <v>44</v>
      </c>
      <c r="H3" t="s">
        <v>45</v>
      </c>
      <c r="I3">
        <v>45</v>
      </c>
      <c r="J3" s="2">
        <v>46068</v>
      </c>
      <c r="K3" t="s">
        <v>38</v>
      </c>
      <c r="L3" s="2"/>
      <c r="M3" s="3">
        <v>0</v>
      </c>
      <c r="N3" s="3">
        <v>1992.26</v>
      </c>
      <c r="O3">
        <v>0</v>
      </c>
      <c r="P3" t="s">
        <v>39</v>
      </c>
    </row>
    <row r="4" spans="1:16">
      <c r="A4" s="2">
        <v>46023</v>
      </c>
      <c r="B4" t="s">
        <v>46</v>
      </c>
      <c r="C4" t="s">
        <v>47</v>
      </c>
      <c r="D4" t="s">
        <v>34</v>
      </c>
      <c r="E4" t="s">
        <v>48</v>
      </c>
      <c r="F4" s="3">
        <v>3134.88</v>
      </c>
      <c r="G4" t="s">
        <v>49</v>
      </c>
      <c r="H4" t="s">
        <v>37</v>
      </c>
      <c r="I4">
        <v>7</v>
      </c>
      <c r="J4" s="2">
        <v>46030</v>
      </c>
      <c r="K4" t="s">
        <v>50</v>
      </c>
      <c r="L4" s="2">
        <v>46040</v>
      </c>
      <c r="M4" s="3">
        <v>3134.88</v>
      </c>
      <c r="N4" s="3">
        <v>0</v>
      </c>
      <c r="O4">
        <v>0</v>
      </c>
      <c r="P4" t="s">
        <v>39</v>
      </c>
    </row>
    <row r="5" spans="1:16">
      <c r="A5" s="2">
        <v>46024</v>
      </c>
      <c r="B5" t="s">
        <v>51</v>
      </c>
      <c r="C5" t="s">
        <v>47</v>
      </c>
      <c r="D5" t="s">
        <v>52</v>
      </c>
      <c r="E5" t="s">
        <v>53</v>
      </c>
      <c r="F5" s="3">
        <v>432.76</v>
      </c>
      <c r="G5" t="s">
        <v>44</v>
      </c>
      <c r="H5" t="s">
        <v>45</v>
      </c>
      <c r="I5">
        <v>30</v>
      </c>
      <c r="J5" s="2">
        <v>46054</v>
      </c>
      <c r="K5" t="s">
        <v>50</v>
      </c>
      <c r="L5" s="2">
        <v>46057</v>
      </c>
      <c r="M5" s="3">
        <v>432.76</v>
      </c>
      <c r="N5" s="3">
        <v>0</v>
      </c>
      <c r="O5">
        <v>0</v>
      </c>
      <c r="P5" t="s">
        <v>39</v>
      </c>
    </row>
    <row r="6" spans="1:16">
      <c r="A6" s="2">
        <v>46024</v>
      </c>
      <c r="B6" t="s">
        <v>54</v>
      </c>
      <c r="C6" t="s">
        <v>47</v>
      </c>
      <c r="D6" t="s">
        <v>42</v>
      </c>
      <c r="E6" t="s">
        <v>53</v>
      </c>
      <c r="F6" s="3">
        <v>1061.97</v>
      </c>
      <c r="G6" t="s">
        <v>36</v>
      </c>
      <c r="H6" t="s">
        <v>37</v>
      </c>
      <c r="I6">
        <v>45</v>
      </c>
      <c r="J6" s="2">
        <v>46069</v>
      </c>
      <c r="K6" t="s">
        <v>50</v>
      </c>
      <c r="L6" s="2">
        <v>46078</v>
      </c>
      <c r="M6" s="3">
        <v>1061.97</v>
      </c>
      <c r="N6" s="3">
        <v>0</v>
      </c>
      <c r="O6">
        <v>0</v>
      </c>
      <c r="P6" t="s">
        <v>39</v>
      </c>
    </row>
    <row r="7" spans="1:16">
      <c r="A7" s="2">
        <v>46024</v>
      </c>
      <c r="B7" t="s">
        <v>55</v>
      </c>
      <c r="C7" t="s">
        <v>56</v>
      </c>
      <c r="D7" t="s">
        <v>42</v>
      </c>
      <c r="E7" t="s">
        <v>57</v>
      </c>
      <c r="F7" s="3">
        <v>1613.06</v>
      </c>
      <c r="G7" t="s">
        <v>44</v>
      </c>
      <c r="H7" t="s">
        <v>58</v>
      </c>
      <c r="I7">
        <v>30</v>
      </c>
      <c r="J7" s="2">
        <v>46054</v>
      </c>
      <c r="K7" t="s">
        <v>50</v>
      </c>
      <c r="L7" s="2">
        <v>46055</v>
      </c>
      <c r="M7" s="3">
        <v>1613.06</v>
      </c>
      <c r="N7" s="3">
        <v>0</v>
      </c>
      <c r="O7">
        <v>0</v>
      </c>
      <c r="P7" t="s">
        <v>39</v>
      </c>
    </row>
    <row r="8" spans="1:16">
      <c r="A8" s="2">
        <v>46024</v>
      </c>
      <c r="B8" t="s">
        <v>59</v>
      </c>
      <c r="C8" t="s">
        <v>47</v>
      </c>
      <c r="D8" t="s">
        <v>42</v>
      </c>
      <c r="E8" t="s">
        <v>35</v>
      </c>
      <c r="F8" s="3">
        <v>859.62</v>
      </c>
      <c r="G8" t="s">
        <v>44</v>
      </c>
      <c r="H8" t="s">
        <v>45</v>
      </c>
      <c r="I8">
        <v>15</v>
      </c>
      <c r="J8" s="2">
        <v>46039</v>
      </c>
      <c r="K8" t="s">
        <v>50</v>
      </c>
      <c r="L8" s="2">
        <v>46043</v>
      </c>
      <c r="M8" s="3">
        <v>859.62</v>
      </c>
      <c r="N8" s="3">
        <v>0</v>
      </c>
      <c r="O8">
        <v>0</v>
      </c>
      <c r="P8" t="s">
        <v>39</v>
      </c>
    </row>
    <row r="9" spans="1:16">
      <c r="A9" s="2">
        <v>46024</v>
      </c>
      <c r="B9" t="s">
        <v>60</v>
      </c>
      <c r="C9" t="s">
        <v>61</v>
      </c>
      <c r="D9" t="s">
        <v>52</v>
      </c>
      <c r="E9" t="s">
        <v>35</v>
      </c>
      <c r="F9" s="3">
        <v>1097.5899999999999</v>
      </c>
      <c r="G9" t="s">
        <v>49</v>
      </c>
      <c r="H9" t="s">
        <v>62</v>
      </c>
      <c r="I9">
        <v>30</v>
      </c>
      <c r="J9" s="2">
        <v>46054</v>
      </c>
      <c r="K9" t="s">
        <v>50</v>
      </c>
      <c r="L9" s="2">
        <v>46054</v>
      </c>
      <c r="M9" s="3">
        <v>1097.5899999999999</v>
      </c>
      <c r="N9" s="3">
        <v>0</v>
      </c>
      <c r="O9">
        <v>0</v>
      </c>
      <c r="P9" t="s">
        <v>39</v>
      </c>
    </row>
    <row r="10" spans="1:16">
      <c r="A10" s="2">
        <v>46025</v>
      </c>
      <c r="B10" t="s">
        <v>63</v>
      </c>
      <c r="C10" t="s">
        <v>64</v>
      </c>
      <c r="D10" t="s">
        <v>65</v>
      </c>
      <c r="E10" t="s">
        <v>35</v>
      </c>
      <c r="F10" s="3">
        <v>1609.11</v>
      </c>
      <c r="G10" t="s">
        <v>36</v>
      </c>
      <c r="H10" t="s">
        <v>66</v>
      </c>
      <c r="I10">
        <v>45</v>
      </c>
      <c r="J10" s="2">
        <v>46070</v>
      </c>
      <c r="K10" t="s">
        <v>38</v>
      </c>
      <c r="L10" s="2"/>
      <c r="M10" s="3">
        <v>0</v>
      </c>
      <c r="N10" s="3">
        <v>1609.11</v>
      </c>
      <c r="O10">
        <v>0</v>
      </c>
      <c r="P10" t="s">
        <v>39</v>
      </c>
    </row>
    <row r="11" spans="1:16">
      <c r="A11" s="2">
        <v>46025</v>
      </c>
      <c r="B11" t="s">
        <v>67</v>
      </c>
      <c r="C11" t="s">
        <v>68</v>
      </c>
      <c r="D11" t="s">
        <v>34</v>
      </c>
      <c r="E11" t="s">
        <v>53</v>
      </c>
      <c r="F11" s="3">
        <v>790.54</v>
      </c>
      <c r="G11" t="s">
        <v>44</v>
      </c>
      <c r="H11" t="s">
        <v>69</v>
      </c>
      <c r="I11">
        <v>30</v>
      </c>
      <c r="J11" s="2">
        <v>46055</v>
      </c>
      <c r="K11" t="s">
        <v>50</v>
      </c>
      <c r="L11" s="2">
        <v>46060</v>
      </c>
      <c r="M11" s="3">
        <v>790.54</v>
      </c>
      <c r="N11" s="3">
        <v>0</v>
      </c>
      <c r="O11">
        <v>0</v>
      </c>
      <c r="P11" t="s">
        <v>39</v>
      </c>
    </row>
    <row r="12" spans="1:16">
      <c r="A12" s="2">
        <v>46026</v>
      </c>
      <c r="B12" t="s">
        <v>70</v>
      </c>
      <c r="C12" t="s">
        <v>61</v>
      </c>
      <c r="D12" t="s">
        <v>34</v>
      </c>
      <c r="E12" t="s">
        <v>57</v>
      </c>
      <c r="F12" s="3">
        <v>748.06</v>
      </c>
      <c r="G12" t="s">
        <v>71</v>
      </c>
      <c r="H12" t="s">
        <v>45</v>
      </c>
      <c r="I12">
        <v>45</v>
      </c>
      <c r="J12" s="2">
        <v>46071</v>
      </c>
      <c r="K12" t="s">
        <v>72</v>
      </c>
      <c r="L12" s="2"/>
      <c r="M12" s="3">
        <v>0</v>
      </c>
      <c r="N12" s="3">
        <v>748.06</v>
      </c>
      <c r="O12">
        <v>187</v>
      </c>
      <c r="P12" t="s">
        <v>39</v>
      </c>
    </row>
    <row r="13" spans="1:16">
      <c r="A13" s="2">
        <v>46026</v>
      </c>
      <c r="B13" t="s">
        <v>73</v>
      </c>
      <c r="C13" t="s">
        <v>74</v>
      </c>
      <c r="D13" t="s">
        <v>52</v>
      </c>
      <c r="E13" t="s">
        <v>48</v>
      </c>
      <c r="F13" s="3">
        <v>4317.4799999999996</v>
      </c>
      <c r="G13" t="s">
        <v>71</v>
      </c>
      <c r="H13" t="s">
        <v>45</v>
      </c>
      <c r="I13">
        <v>15</v>
      </c>
      <c r="J13" s="2">
        <v>46041</v>
      </c>
      <c r="K13" t="s">
        <v>50</v>
      </c>
      <c r="L13" s="2">
        <v>46044</v>
      </c>
      <c r="M13" s="3">
        <v>4317.4799999999996</v>
      </c>
      <c r="N13" s="3">
        <v>0</v>
      </c>
      <c r="O13">
        <v>0</v>
      </c>
      <c r="P13" t="s">
        <v>39</v>
      </c>
    </row>
    <row r="14" spans="1:16">
      <c r="A14" s="2">
        <v>46026</v>
      </c>
      <c r="B14" t="s">
        <v>75</v>
      </c>
      <c r="C14" t="s">
        <v>68</v>
      </c>
      <c r="D14" t="s">
        <v>42</v>
      </c>
      <c r="E14" t="s">
        <v>43</v>
      </c>
      <c r="F14" s="3">
        <v>1800.48</v>
      </c>
      <c r="G14" t="s">
        <v>44</v>
      </c>
      <c r="H14" t="s">
        <v>45</v>
      </c>
      <c r="I14">
        <v>45</v>
      </c>
      <c r="J14" s="2">
        <v>46071</v>
      </c>
      <c r="K14" t="s">
        <v>50</v>
      </c>
      <c r="L14" s="2">
        <v>46079</v>
      </c>
      <c r="M14" s="3">
        <v>1800.48</v>
      </c>
      <c r="N14" s="3">
        <v>0</v>
      </c>
      <c r="O14">
        <v>0</v>
      </c>
      <c r="P14" t="s">
        <v>39</v>
      </c>
    </row>
    <row r="15" spans="1:16">
      <c r="A15" s="2">
        <v>46027</v>
      </c>
      <c r="B15" t="s">
        <v>76</v>
      </c>
      <c r="C15" t="s">
        <v>41</v>
      </c>
      <c r="D15" t="s">
        <v>42</v>
      </c>
      <c r="E15" t="s">
        <v>35</v>
      </c>
      <c r="F15" s="3">
        <v>1570.94</v>
      </c>
      <c r="G15" t="s">
        <v>36</v>
      </c>
      <c r="H15" t="s">
        <v>37</v>
      </c>
      <c r="I15">
        <v>30</v>
      </c>
      <c r="J15" s="2">
        <v>46057</v>
      </c>
      <c r="K15" t="s">
        <v>50</v>
      </c>
      <c r="L15" s="2">
        <v>46067</v>
      </c>
      <c r="M15" s="3">
        <v>1570.94</v>
      </c>
      <c r="N15" s="3">
        <v>0</v>
      </c>
      <c r="O15">
        <v>0</v>
      </c>
      <c r="P15" t="s">
        <v>39</v>
      </c>
    </row>
    <row r="16" spans="1:16">
      <c r="A16" s="2">
        <v>46027</v>
      </c>
      <c r="B16" t="s">
        <v>77</v>
      </c>
      <c r="C16" t="s">
        <v>56</v>
      </c>
      <c r="D16" t="s">
        <v>65</v>
      </c>
      <c r="E16" t="s">
        <v>57</v>
      </c>
      <c r="F16" s="3">
        <v>586.80999999999995</v>
      </c>
      <c r="G16" t="s">
        <v>49</v>
      </c>
      <c r="H16" t="s">
        <v>66</v>
      </c>
      <c r="I16">
        <v>30</v>
      </c>
      <c r="J16" s="2">
        <v>46057</v>
      </c>
      <c r="K16" t="s">
        <v>72</v>
      </c>
      <c r="L16" s="2"/>
      <c r="M16" s="3">
        <v>0</v>
      </c>
      <c r="N16" s="3">
        <v>586.80999999999995</v>
      </c>
      <c r="O16">
        <v>201</v>
      </c>
      <c r="P16" t="s">
        <v>39</v>
      </c>
    </row>
    <row r="17" spans="1:16">
      <c r="A17" s="2">
        <v>46027</v>
      </c>
      <c r="B17" t="s">
        <v>78</v>
      </c>
      <c r="C17" t="s">
        <v>47</v>
      </c>
      <c r="D17" t="s">
        <v>65</v>
      </c>
      <c r="E17" t="s">
        <v>48</v>
      </c>
      <c r="F17" s="3">
        <v>342.53</v>
      </c>
      <c r="G17" t="s">
        <v>36</v>
      </c>
      <c r="H17" t="s">
        <v>62</v>
      </c>
      <c r="I17">
        <v>30</v>
      </c>
      <c r="J17" s="2">
        <v>46057</v>
      </c>
      <c r="K17" t="s">
        <v>72</v>
      </c>
      <c r="L17" s="2"/>
      <c r="M17" s="3">
        <v>0</v>
      </c>
      <c r="N17" s="3">
        <v>342.53</v>
      </c>
      <c r="O17">
        <v>201</v>
      </c>
      <c r="P17" t="s">
        <v>39</v>
      </c>
    </row>
    <row r="18" spans="1:16">
      <c r="A18" s="2">
        <v>46028</v>
      </c>
      <c r="B18" t="s">
        <v>79</v>
      </c>
      <c r="C18" t="s">
        <v>80</v>
      </c>
      <c r="D18" t="s">
        <v>65</v>
      </c>
      <c r="E18" t="s">
        <v>43</v>
      </c>
      <c r="F18" s="3">
        <v>1796.44</v>
      </c>
      <c r="G18" t="s">
        <v>36</v>
      </c>
      <c r="H18" t="s">
        <v>69</v>
      </c>
      <c r="I18">
        <v>30</v>
      </c>
      <c r="J18" s="2">
        <v>46058</v>
      </c>
      <c r="K18" t="s">
        <v>38</v>
      </c>
      <c r="L18" s="2"/>
      <c r="M18" s="3">
        <v>0</v>
      </c>
      <c r="N18" s="3">
        <v>1796.44</v>
      </c>
      <c r="O18">
        <v>0</v>
      </c>
      <c r="P18" t="s">
        <v>39</v>
      </c>
    </row>
    <row r="19" spans="1:16">
      <c r="A19" s="2">
        <v>46028</v>
      </c>
      <c r="B19" t="s">
        <v>81</v>
      </c>
      <c r="C19" t="s">
        <v>82</v>
      </c>
      <c r="D19" t="s">
        <v>34</v>
      </c>
      <c r="E19" t="s">
        <v>57</v>
      </c>
      <c r="F19" s="3">
        <v>1058.8399999999999</v>
      </c>
      <c r="G19" t="s">
        <v>36</v>
      </c>
      <c r="H19" t="s">
        <v>45</v>
      </c>
      <c r="I19">
        <v>30</v>
      </c>
      <c r="J19" s="2">
        <v>46058</v>
      </c>
      <c r="K19" t="s">
        <v>50</v>
      </c>
      <c r="L19" s="2">
        <v>46062</v>
      </c>
      <c r="M19" s="3">
        <v>1058.8399999999999</v>
      </c>
      <c r="N19" s="3">
        <v>0</v>
      </c>
      <c r="O19">
        <v>0</v>
      </c>
      <c r="P19" t="s">
        <v>39</v>
      </c>
    </row>
    <row r="20" spans="1:16">
      <c r="A20" s="2">
        <v>46029</v>
      </c>
      <c r="B20" t="s">
        <v>83</v>
      </c>
      <c r="C20" t="s">
        <v>84</v>
      </c>
      <c r="D20" t="s">
        <v>42</v>
      </c>
      <c r="E20" t="s">
        <v>53</v>
      </c>
      <c r="F20" s="3">
        <v>1416.29</v>
      </c>
      <c r="G20" t="s">
        <v>44</v>
      </c>
      <c r="H20" t="s">
        <v>45</v>
      </c>
      <c r="I20">
        <v>7</v>
      </c>
      <c r="J20" s="2">
        <v>46036</v>
      </c>
      <c r="K20" t="s">
        <v>72</v>
      </c>
      <c r="L20" s="2"/>
      <c r="M20" s="3">
        <v>0</v>
      </c>
      <c r="N20" s="3">
        <v>1416.29</v>
      </c>
      <c r="O20">
        <v>222</v>
      </c>
      <c r="P20" t="s">
        <v>39</v>
      </c>
    </row>
    <row r="21" spans="1:16">
      <c r="A21" s="2">
        <v>46030</v>
      </c>
      <c r="B21" t="s">
        <v>85</v>
      </c>
      <c r="C21" t="s">
        <v>64</v>
      </c>
      <c r="D21" t="s">
        <v>65</v>
      </c>
      <c r="E21" t="s">
        <v>35</v>
      </c>
      <c r="F21" s="3">
        <v>2653.85</v>
      </c>
      <c r="G21" t="s">
        <v>36</v>
      </c>
      <c r="H21" t="s">
        <v>58</v>
      </c>
      <c r="I21">
        <v>30</v>
      </c>
      <c r="J21" s="2">
        <v>46060</v>
      </c>
      <c r="K21" t="s">
        <v>50</v>
      </c>
      <c r="L21" s="2">
        <v>46069</v>
      </c>
      <c r="M21" s="3">
        <v>2653.85</v>
      </c>
      <c r="N21" s="3">
        <v>0</v>
      </c>
      <c r="O21">
        <v>0</v>
      </c>
      <c r="P21" t="s">
        <v>39</v>
      </c>
    </row>
    <row r="22" spans="1:16">
      <c r="A22" s="2">
        <v>46030</v>
      </c>
      <c r="B22" t="s">
        <v>86</v>
      </c>
      <c r="C22" t="s">
        <v>74</v>
      </c>
      <c r="D22" t="s">
        <v>34</v>
      </c>
      <c r="E22" t="s">
        <v>57</v>
      </c>
      <c r="F22" s="3">
        <v>1424.75</v>
      </c>
      <c r="G22" t="s">
        <v>49</v>
      </c>
      <c r="H22" t="s">
        <v>62</v>
      </c>
      <c r="I22">
        <v>7</v>
      </c>
      <c r="J22" s="2">
        <v>46037</v>
      </c>
      <c r="K22" t="s">
        <v>72</v>
      </c>
      <c r="L22" s="2"/>
      <c r="M22" s="3">
        <v>0</v>
      </c>
      <c r="N22" s="3">
        <v>1424.75</v>
      </c>
      <c r="O22">
        <v>221</v>
      </c>
      <c r="P22" t="s">
        <v>39</v>
      </c>
    </row>
    <row r="23" spans="1:16">
      <c r="A23" s="2">
        <v>46030</v>
      </c>
      <c r="B23" t="s">
        <v>87</v>
      </c>
      <c r="C23" t="s">
        <v>74</v>
      </c>
      <c r="D23" t="s">
        <v>52</v>
      </c>
      <c r="E23" t="s">
        <v>53</v>
      </c>
      <c r="F23" s="3">
        <v>1059.95</v>
      </c>
      <c r="G23" t="s">
        <v>36</v>
      </c>
      <c r="H23" t="s">
        <v>69</v>
      </c>
      <c r="I23">
        <v>30</v>
      </c>
      <c r="J23" s="2">
        <v>46060</v>
      </c>
      <c r="K23" t="s">
        <v>50</v>
      </c>
      <c r="L23" s="2">
        <v>46062</v>
      </c>
      <c r="M23" s="3">
        <v>1059.95</v>
      </c>
      <c r="N23" s="3">
        <v>0</v>
      </c>
      <c r="O23">
        <v>0</v>
      </c>
      <c r="P23" t="s">
        <v>39</v>
      </c>
    </row>
    <row r="24" spans="1:16">
      <c r="A24" s="2">
        <v>46030</v>
      </c>
      <c r="B24" t="s">
        <v>88</v>
      </c>
      <c r="C24" t="s">
        <v>84</v>
      </c>
      <c r="D24" t="s">
        <v>34</v>
      </c>
      <c r="E24" t="s">
        <v>48</v>
      </c>
      <c r="F24" s="3">
        <v>2196.2399999999998</v>
      </c>
      <c r="G24" t="s">
        <v>36</v>
      </c>
      <c r="H24" t="s">
        <v>62</v>
      </c>
      <c r="I24">
        <v>7</v>
      </c>
      <c r="J24" s="2">
        <v>46037</v>
      </c>
      <c r="K24" t="s">
        <v>50</v>
      </c>
      <c r="L24" s="2">
        <v>46044</v>
      </c>
      <c r="M24" s="3">
        <v>2196.2399999999998</v>
      </c>
      <c r="N24" s="3">
        <v>0</v>
      </c>
      <c r="O24">
        <v>0</v>
      </c>
      <c r="P24" t="s">
        <v>39</v>
      </c>
    </row>
    <row r="25" spans="1:16">
      <c r="A25" s="2">
        <v>46030</v>
      </c>
      <c r="B25" t="s">
        <v>89</v>
      </c>
      <c r="C25" t="s">
        <v>90</v>
      </c>
      <c r="D25" t="s">
        <v>65</v>
      </c>
      <c r="E25" t="s">
        <v>43</v>
      </c>
      <c r="F25" s="3">
        <v>1134.19</v>
      </c>
      <c r="G25" t="s">
        <v>36</v>
      </c>
      <c r="H25" t="s">
        <v>69</v>
      </c>
      <c r="I25">
        <v>7</v>
      </c>
      <c r="J25" s="2">
        <v>46037</v>
      </c>
      <c r="K25" t="s">
        <v>72</v>
      </c>
      <c r="L25" s="2"/>
      <c r="M25" s="3">
        <v>0</v>
      </c>
      <c r="N25" s="3">
        <v>1134.19</v>
      </c>
      <c r="O25">
        <v>221</v>
      </c>
      <c r="P25" t="s">
        <v>39</v>
      </c>
    </row>
    <row r="26" spans="1:16">
      <c r="A26" s="2">
        <v>46031</v>
      </c>
      <c r="B26" t="s">
        <v>91</v>
      </c>
      <c r="C26" t="s">
        <v>84</v>
      </c>
      <c r="D26" t="s">
        <v>42</v>
      </c>
      <c r="E26" t="s">
        <v>53</v>
      </c>
      <c r="F26" s="3">
        <v>3388.76</v>
      </c>
      <c r="G26" t="s">
        <v>36</v>
      </c>
      <c r="H26" t="s">
        <v>66</v>
      </c>
      <c r="I26">
        <v>45</v>
      </c>
      <c r="J26" s="2">
        <v>46076</v>
      </c>
      <c r="K26" t="s">
        <v>50</v>
      </c>
      <c r="L26" s="2">
        <v>46080</v>
      </c>
      <c r="M26" s="3">
        <v>3388.76</v>
      </c>
      <c r="N26" s="3">
        <v>0</v>
      </c>
      <c r="O26">
        <v>0</v>
      </c>
      <c r="P26" t="s">
        <v>39</v>
      </c>
    </row>
    <row r="27" spans="1:16">
      <c r="A27" s="2">
        <v>46031</v>
      </c>
      <c r="B27" t="s">
        <v>92</v>
      </c>
      <c r="C27" t="s">
        <v>47</v>
      </c>
      <c r="D27" t="s">
        <v>34</v>
      </c>
      <c r="E27" t="s">
        <v>43</v>
      </c>
      <c r="F27" s="3">
        <v>1344.54</v>
      </c>
      <c r="G27" t="s">
        <v>49</v>
      </c>
      <c r="H27" t="s">
        <v>37</v>
      </c>
      <c r="I27">
        <v>7</v>
      </c>
      <c r="J27" s="2">
        <v>46038</v>
      </c>
      <c r="K27" t="s">
        <v>50</v>
      </c>
      <c r="L27" s="2">
        <v>46047</v>
      </c>
      <c r="M27" s="3">
        <v>1344.54</v>
      </c>
      <c r="N27" s="3">
        <v>0</v>
      </c>
      <c r="O27">
        <v>0</v>
      </c>
      <c r="P27" t="s">
        <v>39</v>
      </c>
    </row>
    <row r="28" spans="1:16">
      <c r="A28" s="2">
        <v>46031</v>
      </c>
      <c r="B28" t="s">
        <v>93</v>
      </c>
      <c r="C28" t="s">
        <v>80</v>
      </c>
      <c r="D28" t="s">
        <v>65</v>
      </c>
      <c r="E28" t="s">
        <v>53</v>
      </c>
      <c r="F28" s="3">
        <v>970.38</v>
      </c>
      <c r="G28" t="s">
        <v>49</v>
      </c>
      <c r="H28" t="s">
        <v>62</v>
      </c>
      <c r="I28">
        <v>30</v>
      </c>
      <c r="J28" s="2">
        <v>46061</v>
      </c>
      <c r="K28" t="s">
        <v>50</v>
      </c>
      <c r="L28" s="2">
        <v>46065</v>
      </c>
      <c r="M28" s="3">
        <v>970.38</v>
      </c>
      <c r="N28" s="3">
        <v>0</v>
      </c>
      <c r="O28">
        <v>0</v>
      </c>
      <c r="P28" t="s">
        <v>39</v>
      </c>
    </row>
    <row r="29" spans="1:16">
      <c r="A29" s="2">
        <v>46032</v>
      </c>
      <c r="B29" t="s">
        <v>94</v>
      </c>
      <c r="C29" t="s">
        <v>47</v>
      </c>
      <c r="D29" t="s">
        <v>34</v>
      </c>
      <c r="E29" t="s">
        <v>53</v>
      </c>
      <c r="F29" s="3">
        <v>1028.44</v>
      </c>
      <c r="G29" t="s">
        <v>36</v>
      </c>
      <c r="H29" t="s">
        <v>37</v>
      </c>
      <c r="I29">
        <v>7</v>
      </c>
      <c r="J29" s="2">
        <v>46039</v>
      </c>
      <c r="K29" t="s">
        <v>50</v>
      </c>
      <c r="L29" s="2">
        <v>46049</v>
      </c>
      <c r="M29" s="3">
        <v>1028.44</v>
      </c>
      <c r="N29" s="3">
        <v>0</v>
      </c>
      <c r="O29">
        <v>0</v>
      </c>
      <c r="P29" t="s">
        <v>39</v>
      </c>
    </row>
    <row r="30" spans="1:16">
      <c r="A30" s="2">
        <v>46033</v>
      </c>
      <c r="B30" t="s">
        <v>95</v>
      </c>
      <c r="C30" t="s">
        <v>33</v>
      </c>
      <c r="D30" t="s">
        <v>52</v>
      </c>
      <c r="E30" t="s">
        <v>53</v>
      </c>
      <c r="F30" s="3">
        <v>5723.93</v>
      </c>
      <c r="G30" t="s">
        <v>36</v>
      </c>
      <c r="H30" t="s">
        <v>69</v>
      </c>
      <c r="I30">
        <v>15</v>
      </c>
      <c r="J30" s="2">
        <v>46048</v>
      </c>
      <c r="K30" t="s">
        <v>50</v>
      </c>
      <c r="L30" s="2">
        <v>46058</v>
      </c>
      <c r="M30" s="3">
        <v>5723.93</v>
      </c>
      <c r="N30" s="3">
        <v>0</v>
      </c>
      <c r="O30">
        <v>0</v>
      </c>
      <c r="P30" t="s">
        <v>39</v>
      </c>
    </row>
    <row r="31" spans="1:16">
      <c r="A31" s="2">
        <v>46034</v>
      </c>
      <c r="B31" t="s">
        <v>96</v>
      </c>
      <c r="C31" t="s">
        <v>64</v>
      </c>
      <c r="D31" t="s">
        <v>34</v>
      </c>
      <c r="E31" t="s">
        <v>53</v>
      </c>
      <c r="F31" s="3">
        <v>1304.19</v>
      </c>
      <c r="G31" t="s">
        <v>71</v>
      </c>
      <c r="H31" t="s">
        <v>66</v>
      </c>
      <c r="I31">
        <v>15</v>
      </c>
      <c r="J31" s="2">
        <v>46049</v>
      </c>
      <c r="K31" t="s">
        <v>50</v>
      </c>
      <c r="L31" s="2">
        <v>46059</v>
      </c>
      <c r="M31" s="3">
        <v>1304.19</v>
      </c>
      <c r="N31" s="3">
        <v>0</v>
      </c>
      <c r="O31">
        <v>0</v>
      </c>
      <c r="P31" t="s">
        <v>39</v>
      </c>
    </row>
    <row r="32" spans="1:16">
      <c r="A32" s="2">
        <v>46034</v>
      </c>
      <c r="B32" t="s">
        <v>97</v>
      </c>
      <c r="C32" t="s">
        <v>56</v>
      </c>
      <c r="D32" t="s">
        <v>65</v>
      </c>
      <c r="E32" t="s">
        <v>35</v>
      </c>
      <c r="F32" s="3">
        <v>823.05</v>
      </c>
      <c r="G32" t="s">
        <v>49</v>
      </c>
      <c r="H32" t="s">
        <v>58</v>
      </c>
      <c r="I32">
        <v>30</v>
      </c>
      <c r="J32" s="2">
        <v>46064</v>
      </c>
      <c r="K32" t="s">
        <v>38</v>
      </c>
      <c r="L32" s="2"/>
      <c r="M32" s="3">
        <v>0</v>
      </c>
      <c r="N32" s="3">
        <v>823.05</v>
      </c>
      <c r="O32">
        <v>0</v>
      </c>
      <c r="P32" t="s">
        <v>39</v>
      </c>
    </row>
    <row r="33" spans="1:16">
      <c r="A33" s="2">
        <v>46034</v>
      </c>
      <c r="B33" t="s">
        <v>98</v>
      </c>
      <c r="C33" t="s">
        <v>41</v>
      </c>
      <c r="D33" t="s">
        <v>42</v>
      </c>
      <c r="E33" t="s">
        <v>48</v>
      </c>
      <c r="F33" s="3">
        <v>5022.33</v>
      </c>
      <c r="G33" t="s">
        <v>71</v>
      </c>
      <c r="H33" t="s">
        <v>58</v>
      </c>
      <c r="I33">
        <v>45</v>
      </c>
      <c r="J33" s="2">
        <v>46079</v>
      </c>
      <c r="K33" t="s">
        <v>50</v>
      </c>
      <c r="L33" s="2">
        <v>46090</v>
      </c>
      <c r="M33" s="3">
        <v>5022.33</v>
      </c>
      <c r="N33" s="3">
        <v>0</v>
      </c>
      <c r="O33">
        <v>0</v>
      </c>
      <c r="P33" t="s">
        <v>39</v>
      </c>
    </row>
    <row r="34" spans="1:16">
      <c r="A34" s="2">
        <v>46034</v>
      </c>
      <c r="B34" t="s">
        <v>99</v>
      </c>
      <c r="C34" t="s">
        <v>68</v>
      </c>
      <c r="D34" t="s">
        <v>52</v>
      </c>
      <c r="E34" t="s">
        <v>48</v>
      </c>
      <c r="F34" s="3">
        <v>1199.74</v>
      </c>
      <c r="G34" t="s">
        <v>71</v>
      </c>
      <c r="H34" t="s">
        <v>45</v>
      </c>
      <c r="I34">
        <v>30</v>
      </c>
      <c r="J34" s="2">
        <v>46064</v>
      </c>
      <c r="K34" t="s">
        <v>50</v>
      </c>
      <c r="L34" s="2">
        <v>46071</v>
      </c>
      <c r="M34" s="3">
        <v>1199.74</v>
      </c>
      <c r="N34" s="3">
        <v>0</v>
      </c>
      <c r="O34">
        <v>0</v>
      </c>
      <c r="P34" t="s">
        <v>39</v>
      </c>
    </row>
    <row r="35" spans="1:16">
      <c r="A35" s="2">
        <v>46035</v>
      </c>
      <c r="B35" t="s">
        <v>100</v>
      </c>
      <c r="C35" t="s">
        <v>56</v>
      </c>
      <c r="D35" t="s">
        <v>34</v>
      </c>
      <c r="E35" t="s">
        <v>35</v>
      </c>
      <c r="F35" s="3">
        <v>1308.46</v>
      </c>
      <c r="G35" t="s">
        <v>49</v>
      </c>
      <c r="H35" t="s">
        <v>62</v>
      </c>
      <c r="I35">
        <v>15</v>
      </c>
      <c r="J35" s="2">
        <v>46050</v>
      </c>
      <c r="K35" t="s">
        <v>50</v>
      </c>
      <c r="L35" s="2">
        <v>46054</v>
      </c>
      <c r="M35" s="3">
        <v>1308.46</v>
      </c>
      <c r="N35" s="3">
        <v>0</v>
      </c>
      <c r="O35">
        <v>0</v>
      </c>
      <c r="P35" t="s">
        <v>39</v>
      </c>
    </row>
    <row r="36" spans="1:16">
      <c r="A36" s="2">
        <v>46035</v>
      </c>
      <c r="B36" t="s">
        <v>101</v>
      </c>
      <c r="C36" t="s">
        <v>47</v>
      </c>
      <c r="D36" t="s">
        <v>52</v>
      </c>
      <c r="E36" t="s">
        <v>43</v>
      </c>
      <c r="F36" s="3">
        <v>411.72</v>
      </c>
      <c r="G36" t="s">
        <v>44</v>
      </c>
      <c r="H36" t="s">
        <v>58</v>
      </c>
      <c r="I36">
        <v>7</v>
      </c>
      <c r="J36" s="2">
        <v>46042</v>
      </c>
      <c r="K36" t="s">
        <v>50</v>
      </c>
      <c r="L36" s="2">
        <v>46053</v>
      </c>
      <c r="M36" s="3">
        <v>411.72</v>
      </c>
      <c r="N36" s="3">
        <v>0</v>
      </c>
      <c r="O36">
        <v>0</v>
      </c>
      <c r="P36" t="s">
        <v>39</v>
      </c>
    </row>
    <row r="37" spans="1:16">
      <c r="A37" s="2">
        <v>46035</v>
      </c>
      <c r="B37" t="s">
        <v>102</v>
      </c>
      <c r="C37" t="s">
        <v>74</v>
      </c>
      <c r="D37" t="s">
        <v>42</v>
      </c>
      <c r="E37" t="s">
        <v>43</v>
      </c>
      <c r="F37" s="3">
        <v>2474.81</v>
      </c>
      <c r="G37" t="s">
        <v>71</v>
      </c>
      <c r="H37" t="s">
        <v>58</v>
      </c>
      <c r="I37">
        <v>30</v>
      </c>
      <c r="J37" s="2">
        <v>46065</v>
      </c>
      <c r="K37" t="s">
        <v>50</v>
      </c>
      <c r="L37" s="2">
        <v>46068</v>
      </c>
      <c r="M37" s="3">
        <v>2474.81</v>
      </c>
      <c r="N37" s="3">
        <v>0</v>
      </c>
      <c r="O37">
        <v>0</v>
      </c>
      <c r="P37" t="s">
        <v>39</v>
      </c>
    </row>
    <row r="38" spans="1:16">
      <c r="A38" s="2">
        <v>46036</v>
      </c>
      <c r="B38" t="s">
        <v>103</v>
      </c>
      <c r="C38" t="s">
        <v>56</v>
      </c>
      <c r="D38" t="s">
        <v>65</v>
      </c>
      <c r="E38" t="s">
        <v>35</v>
      </c>
      <c r="F38" s="3">
        <v>667.6</v>
      </c>
      <c r="G38" t="s">
        <v>44</v>
      </c>
      <c r="H38" t="s">
        <v>66</v>
      </c>
      <c r="I38">
        <v>15</v>
      </c>
      <c r="J38" s="2">
        <v>46051</v>
      </c>
      <c r="K38" t="s">
        <v>38</v>
      </c>
      <c r="L38" s="2"/>
      <c r="M38" s="3">
        <v>0</v>
      </c>
      <c r="N38" s="3">
        <v>667.6</v>
      </c>
      <c r="O38">
        <v>0</v>
      </c>
      <c r="P38" t="s">
        <v>39</v>
      </c>
    </row>
    <row r="39" spans="1:16">
      <c r="A39" s="2">
        <v>46036</v>
      </c>
      <c r="B39" t="s">
        <v>104</v>
      </c>
      <c r="C39" t="s">
        <v>80</v>
      </c>
      <c r="D39" t="s">
        <v>52</v>
      </c>
      <c r="E39" t="s">
        <v>43</v>
      </c>
      <c r="F39" s="3">
        <v>884.55</v>
      </c>
      <c r="G39" t="s">
        <v>71</v>
      </c>
      <c r="H39" t="s">
        <v>62</v>
      </c>
      <c r="I39">
        <v>30</v>
      </c>
      <c r="J39" s="2">
        <v>46066</v>
      </c>
      <c r="K39" t="s">
        <v>38</v>
      </c>
      <c r="L39" s="2"/>
      <c r="M39" s="3">
        <v>0</v>
      </c>
      <c r="N39" s="3">
        <v>884.55</v>
      </c>
      <c r="O39">
        <v>0</v>
      </c>
      <c r="P39" t="s">
        <v>39</v>
      </c>
    </row>
    <row r="40" spans="1:16">
      <c r="A40" s="2">
        <v>46037</v>
      </c>
      <c r="B40" t="s">
        <v>105</v>
      </c>
      <c r="C40" t="s">
        <v>82</v>
      </c>
      <c r="D40" t="s">
        <v>52</v>
      </c>
      <c r="E40" t="s">
        <v>35</v>
      </c>
      <c r="F40" s="3">
        <v>539.08000000000004</v>
      </c>
      <c r="G40" t="s">
        <v>36</v>
      </c>
      <c r="H40" t="s">
        <v>37</v>
      </c>
      <c r="I40">
        <v>30</v>
      </c>
      <c r="J40" s="2">
        <v>46067</v>
      </c>
      <c r="K40" t="s">
        <v>50</v>
      </c>
      <c r="L40" s="2">
        <v>46076</v>
      </c>
      <c r="M40" s="3">
        <v>539.08000000000004</v>
      </c>
      <c r="N40" s="3">
        <v>0</v>
      </c>
      <c r="O40">
        <v>0</v>
      </c>
      <c r="P40" t="s">
        <v>39</v>
      </c>
    </row>
    <row r="41" spans="1:16">
      <c r="A41" s="2">
        <v>46037</v>
      </c>
      <c r="B41" t="s">
        <v>106</v>
      </c>
      <c r="C41" t="s">
        <v>47</v>
      </c>
      <c r="D41" t="s">
        <v>52</v>
      </c>
      <c r="E41" t="s">
        <v>57</v>
      </c>
      <c r="F41" s="3">
        <v>1868.94</v>
      </c>
      <c r="G41" t="s">
        <v>36</v>
      </c>
      <c r="H41" t="s">
        <v>45</v>
      </c>
      <c r="I41">
        <v>30</v>
      </c>
      <c r="J41" s="2">
        <v>46067</v>
      </c>
      <c r="K41" t="s">
        <v>72</v>
      </c>
      <c r="L41" s="2"/>
      <c r="M41" s="3">
        <v>0</v>
      </c>
      <c r="N41" s="3">
        <v>1868.94</v>
      </c>
      <c r="O41">
        <v>191</v>
      </c>
      <c r="P41" t="s">
        <v>39</v>
      </c>
    </row>
    <row r="42" spans="1:16">
      <c r="A42" s="2">
        <v>46037</v>
      </c>
      <c r="B42" t="s">
        <v>107</v>
      </c>
      <c r="C42" t="s">
        <v>80</v>
      </c>
      <c r="D42" t="s">
        <v>34</v>
      </c>
      <c r="E42" t="s">
        <v>53</v>
      </c>
      <c r="F42" s="3">
        <v>3415.39</v>
      </c>
      <c r="G42" t="s">
        <v>71</v>
      </c>
      <c r="H42" t="s">
        <v>45</v>
      </c>
      <c r="I42">
        <v>30</v>
      </c>
      <c r="J42" s="2">
        <v>46067</v>
      </c>
      <c r="K42" t="s">
        <v>50</v>
      </c>
      <c r="L42" s="2">
        <v>46076</v>
      </c>
      <c r="M42" s="3">
        <v>3415.39</v>
      </c>
      <c r="N42" s="3">
        <v>0</v>
      </c>
      <c r="O42">
        <v>0</v>
      </c>
      <c r="P42" t="s">
        <v>39</v>
      </c>
    </row>
    <row r="43" spans="1:16">
      <c r="A43" s="2">
        <v>46037</v>
      </c>
      <c r="B43" t="s">
        <v>108</v>
      </c>
      <c r="C43" t="s">
        <v>61</v>
      </c>
      <c r="D43" t="s">
        <v>34</v>
      </c>
      <c r="E43" t="s">
        <v>57</v>
      </c>
      <c r="F43" s="3">
        <v>2376.63</v>
      </c>
      <c r="G43" t="s">
        <v>36</v>
      </c>
      <c r="H43" t="s">
        <v>58</v>
      </c>
      <c r="I43">
        <v>45</v>
      </c>
      <c r="J43" s="2">
        <v>46082</v>
      </c>
      <c r="K43" t="s">
        <v>50</v>
      </c>
      <c r="L43" s="2">
        <v>46085</v>
      </c>
      <c r="M43" s="3">
        <v>2376.63</v>
      </c>
      <c r="N43" s="3">
        <v>0</v>
      </c>
      <c r="O43">
        <v>0</v>
      </c>
      <c r="P43" t="s">
        <v>39</v>
      </c>
    </row>
    <row r="44" spans="1:16">
      <c r="A44" s="2">
        <v>46037</v>
      </c>
      <c r="B44" t="s">
        <v>109</v>
      </c>
      <c r="C44" t="s">
        <v>64</v>
      </c>
      <c r="D44" t="s">
        <v>65</v>
      </c>
      <c r="E44" t="s">
        <v>43</v>
      </c>
      <c r="F44" s="3">
        <v>894.67</v>
      </c>
      <c r="G44" t="s">
        <v>49</v>
      </c>
      <c r="H44" t="s">
        <v>66</v>
      </c>
      <c r="I44">
        <v>30</v>
      </c>
      <c r="J44" s="2">
        <v>46067</v>
      </c>
      <c r="K44" t="s">
        <v>50</v>
      </c>
      <c r="L44" s="2">
        <v>46077</v>
      </c>
      <c r="M44" s="3">
        <v>894.67</v>
      </c>
      <c r="N44" s="3">
        <v>0</v>
      </c>
      <c r="O44">
        <v>0</v>
      </c>
      <c r="P44" t="s">
        <v>39</v>
      </c>
    </row>
    <row r="45" spans="1:16">
      <c r="A45" s="2">
        <v>46037</v>
      </c>
      <c r="B45" t="s">
        <v>110</v>
      </c>
      <c r="C45" t="s">
        <v>33</v>
      </c>
      <c r="D45" t="s">
        <v>42</v>
      </c>
      <c r="E45" t="s">
        <v>48</v>
      </c>
      <c r="F45" s="3">
        <v>1708.52</v>
      </c>
      <c r="G45" t="s">
        <v>44</v>
      </c>
      <c r="H45" t="s">
        <v>69</v>
      </c>
      <c r="I45">
        <v>15</v>
      </c>
      <c r="J45" s="2">
        <v>46052</v>
      </c>
      <c r="K45" t="s">
        <v>50</v>
      </c>
      <c r="L45" s="2">
        <v>46054</v>
      </c>
      <c r="M45" s="3">
        <v>1708.52</v>
      </c>
      <c r="N45" s="3">
        <v>0</v>
      </c>
      <c r="O45">
        <v>0</v>
      </c>
      <c r="P45" t="s">
        <v>39</v>
      </c>
    </row>
    <row r="46" spans="1:16">
      <c r="A46" s="2">
        <v>46038</v>
      </c>
      <c r="B46" t="s">
        <v>111</v>
      </c>
      <c r="C46" t="s">
        <v>68</v>
      </c>
      <c r="D46" t="s">
        <v>42</v>
      </c>
      <c r="E46" t="s">
        <v>53</v>
      </c>
      <c r="F46" s="3">
        <v>1814.15</v>
      </c>
      <c r="G46" t="s">
        <v>44</v>
      </c>
      <c r="H46" t="s">
        <v>58</v>
      </c>
      <c r="I46">
        <v>15</v>
      </c>
      <c r="J46" s="2">
        <v>46053</v>
      </c>
      <c r="K46" t="s">
        <v>50</v>
      </c>
      <c r="L46" s="2">
        <v>46059</v>
      </c>
      <c r="M46" s="3">
        <v>1814.15</v>
      </c>
      <c r="N46" s="3">
        <v>0</v>
      </c>
      <c r="O46">
        <v>0</v>
      </c>
      <c r="P46" t="s">
        <v>39</v>
      </c>
    </row>
    <row r="47" spans="1:16">
      <c r="A47" s="2">
        <v>46038</v>
      </c>
      <c r="B47" t="s">
        <v>112</v>
      </c>
      <c r="C47" t="s">
        <v>74</v>
      </c>
      <c r="D47" t="s">
        <v>34</v>
      </c>
      <c r="E47" t="s">
        <v>43</v>
      </c>
      <c r="F47" s="3">
        <v>813.59</v>
      </c>
      <c r="G47" t="s">
        <v>36</v>
      </c>
      <c r="H47" t="s">
        <v>58</v>
      </c>
      <c r="I47">
        <v>15</v>
      </c>
      <c r="J47" s="2">
        <v>46053</v>
      </c>
      <c r="K47" t="s">
        <v>50</v>
      </c>
      <c r="L47" s="2">
        <v>46053</v>
      </c>
      <c r="M47" s="3">
        <v>813.59</v>
      </c>
      <c r="N47" s="3">
        <v>0</v>
      </c>
      <c r="O47">
        <v>0</v>
      </c>
      <c r="P47" t="s">
        <v>39</v>
      </c>
    </row>
    <row r="48" spans="1:16">
      <c r="A48" s="2">
        <v>46039</v>
      </c>
      <c r="B48" t="s">
        <v>113</v>
      </c>
      <c r="C48" t="s">
        <v>47</v>
      </c>
      <c r="D48" t="s">
        <v>42</v>
      </c>
      <c r="E48" t="s">
        <v>35</v>
      </c>
      <c r="F48" s="3">
        <v>3173.31</v>
      </c>
      <c r="G48" t="s">
        <v>36</v>
      </c>
      <c r="H48" t="s">
        <v>58</v>
      </c>
      <c r="I48">
        <v>30</v>
      </c>
      <c r="J48" s="2">
        <v>46069</v>
      </c>
      <c r="K48" t="s">
        <v>38</v>
      </c>
      <c r="L48" s="2"/>
      <c r="M48" s="3">
        <v>0</v>
      </c>
      <c r="N48" s="3">
        <v>3173.31</v>
      </c>
      <c r="O48">
        <v>0</v>
      </c>
      <c r="P48" t="s">
        <v>39</v>
      </c>
    </row>
    <row r="49" spans="1:16">
      <c r="A49" s="2">
        <v>46039</v>
      </c>
      <c r="B49" t="s">
        <v>114</v>
      </c>
      <c r="C49" t="s">
        <v>68</v>
      </c>
      <c r="D49" t="s">
        <v>34</v>
      </c>
      <c r="E49" t="s">
        <v>53</v>
      </c>
      <c r="F49" s="3">
        <v>1778.77</v>
      </c>
      <c r="G49" t="s">
        <v>36</v>
      </c>
      <c r="H49" t="s">
        <v>37</v>
      </c>
      <c r="I49">
        <v>30</v>
      </c>
      <c r="J49" s="2">
        <v>46069</v>
      </c>
      <c r="K49" t="s">
        <v>50</v>
      </c>
      <c r="L49" s="2">
        <v>46073</v>
      </c>
      <c r="M49" s="3">
        <v>1778.77</v>
      </c>
      <c r="N49" s="3">
        <v>0</v>
      </c>
      <c r="O49">
        <v>0</v>
      </c>
      <c r="P49" t="s">
        <v>39</v>
      </c>
    </row>
    <row r="50" spans="1:16">
      <c r="A50" s="2">
        <v>46040</v>
      </c>
      <c r="B50" t="s">
        <v>115</v>
      </c>
      <c r="C50" t="s">
        <v>64</v>
      </c>
      <c r="D50" t="s">
        <v>34</v>
      </c>
      <c r="E50" t="s">
        <v>43</v>
      </c>
      <c r="F50" s="3">
        <v>1458.91</v>
      </c>
      <c r="G50" t="s">
        <v>36</v>
      </c>
      <c r="H50" t="s">
        <v>45</v>
      </c>
      <c r="I50">
        <v>15</v>
      </c>
      <c r="J50" s="2">
        <v>46055</v>
      </c>
      <c r="K50" t="s">
        <v>50</v>
      </c>
      <c r="L50" s="2">
        <v>46056</v>
      </c>
      <c r="M50" s="3">
        <v>1458.91</v>
      </c>
      <c r="N50" s="3">
        <v>0</v>
      </c>
      <c r="O50">
        <v>0</v>
      </c>
      <c r="P50" t="s">
        <v>39</v>
      </c>
    </row>
    <row r="51" spans="1:16">
      <c r="A51" s="2">
        <v>46040</v>
      </c>
      <c r="B51" t="s">
        <v>116</v>
      </c>
      <c r="C51" t="s">
        <v>82</v>
      </c>
      <c r="D51" t="s">
        <v>52</v>
      </c>
      <c r="E51" t="s">
        <v>53</v>
      </c>
      <c r="F51" s="3">
        <v>2785.38</v>
      </c>
      <c r="G51" t="s">
        <v>36</v>
      </c>
      <c r="H51" t="s">
        <v>69</v>
      </c>
      <c r="I51">
        <v>30</v>
      </c>
      <c r="J51" s="2">
        <v>46070</v>
      </c>
      <c r="K51" t="s">
        <v>50</v>
      </c>
      <c r="L51" s="2">
        <v>46081</v>
      </c>
      <c r="M51" s="3">
        <v>2785.38</v>
      </c>
      <c r="N51" s="3">
        <v>0</v>
      </c>
      <c r="O51">
        <v>0</v>
      </c>
      <c r="P51" t="s">
        <v>39</v>
      </c>
    </row>
    <row r="52" spans="1:16">
      <c r="A52" s="2">
        <v>46041</v>
      </c>
      <c r="B52" t="s">
        <v>117</v>
      </c>
      <c r="C52" t="s">
        <v>41</v>
      </c>
      <c r="D52" t="s">
        <v>42</v>
      </c>
      <c r="E52" t="s">
        <v>43</v>
      </c>
      <c r="F52" s="3">
        <v>626.69000000000005</v>
      </c>
      <c r="G52" t="s">
        <v>44</v>
      </c>
      <c r="H52" t="s">
        <v>58</v>
      </c>
      <c r="I52">
        <v>7</v>
      </c>
      <c r="J52" s="2">
        <v>46048</v>
      </c>
      <c r="K52" t="s">
        <v>38</v>
      </c>
      <c r="L52" s="2"/>
      <c r="M52" s="3">
        <v>0</v>
      </c>
      <c r="N52" s="3">
        <v>626.69000000000005</v>
      </c>
      <c r="O52">
        <v>0</v>
      </c>
      <c r="P52" t="s">
        <v>39</v>
      </c>
    </row>
    <row r="53" spans="1:16">
      <c r="A53" s="2">
        <v>46042</v>
      </c>
      <c r="B53" t="s">
        <v>118</v>
      </c>
      <c r="C53" t="s">
        <v>82</v>
      </c>
      <c r="D53" t="s">
        <v>52</v>
      </c>
      <c r="E53" t="s">
        <v>48</v>
      </c>
      <c r="F53" s="3">
        <v>1327.13</v>
      </c>
      <c r="G53" t="s">
        <v>36</v>
      </c>
      <c r="H53" t="s">
        <v>37</v>
      </c>
      <c r="I53">
        <v>7</v>
      </c>
      <c r="J53" s="2">
        <v>46049</v>
      </c>
      <c r="K53" t="s">
        <v>50</v>
      </c>
      <c r="L53" s="2">
        <v>46056</v>
      </c>
      <c r="M53" s="3">
        <v>1327.13</v>
      </c>
      <c r="N53" s="3">
        <v>0</v>
      </c>
      <c r="O53">
        <v>0</v>
      </c>
      <c r="P53" t="s">
        <v>39</v>
      </c>
    </row>
    <row r="54" spans="1:16">
      <c r="A54" s="2">
        <v>46043</v>
      </c>
      <c r="B54" t="s">
        <v>119</v>
      </c>
      <c r="C54" t="s">
        <v>68</v>
      </c>
      <c r="D54" t="s">
        <v>65</v>
      </c>
      <c r="E54" t="s">
        <v>48</v>
      </c>
      <c r="F54" s="3">
        <v>1561.93</v>
      </c>
      <c r="G54" t="s">
        <v>49</v>
      </c>
      <c r="H54" t="s">
        <v>37</v>
      </c>
      <c r="I54">
        <v>45</v>
      </c>
      <c r="J54" s="2">
        <v>46088</v>
      </c>
      <c r="K54" t="s">
        <v>38</v>
      </c>
      <c r="L54" s="2"/>
      <c r="M54" s="3">
        <v>0</v>
      </c>
      <c r="N54" s="3">
        <v>1561.93</v>
      </c>
      <c r="O54">
        <v>0</v>
      </c>
      <c r="P54" t="s">
        <v>39</v>
      </c>
    </row>
    <row r="55" spans="1:16">
      <c r="A55" s="2">
        <v>46043</v>
      </c>
      <c r="B55" t="s">
        <v>120</v>
      </c>
      <c r="C55" t="s">
        <v>80</v>
      </c>
      <c r="D55" t="s">
        <v>42</v>
      </c>
      <c r="E55" t="s">
        <v>35</v>
      </c>
      <c r="F55" s="3">
        <v>1059.8399999999999</v>
      </c>
      <c r="G55" t="s">
        <v>36</v>
      </c>
      <c r="H55" t="s">
        <v>66</v>
      </c>
      <c r="I55">
        <v>30</v>
      </c>
      <c r="J55" s="2">
        <v>46073</v>
      </c>
      <c r="K55" t="s">
        <v>50</v>
      </c>
      <c r="L55" s="2">
        <v>46079</v>
      </c>
      <c r="M55" s="3">
        <v>1059.8399999999999</v>
      </c>
      <c r="N55" s="3">
        <v>0</v>
      </c>
      <c r="O55">
        <v>0</v>
      </c>
      <c r="P55" t="s">
        <v>39</v>
      </c>
    </row>
    <row r="56" spans="1:16">
      <c r="A56" s="2">
        <v>46043</v>
      </c>
      <c r="B56" t="s">
        <v>121</v>
      </c>
      <c r="C56" t="s">
        <v>47</v>
      </c>
      <c r="D56" t="s">
        <v>42</v>
      </c>
      <c r="E56" t="s">
        <v>48</v>
      </c>
      <c r="F56" s="3">
        <v>1896.68</v>
      </c>
      <c r="G56" t="s">
        <v>71</v>
      </c>
      <c r="H56" t="s">
        <v>58</v>
      </c>
      <c r="I56">
        <v>30</v>
      </c>
      <c r="J56" s="2">
        <v>46073</v>
      </c>
      <c r="K56" t="s">
        <v>38</v>
      </c>
      <c r="L56" s="2"/>
      <c r="M56" s="3">
        <v>0</v>
      </c>
      <c r="N56" s="3">
        <v>1896.68</v>
      </c>
      <c r="O56">
        <v>0</v>
      </c>
      <c r="P56" t="s">
        <v>39</v>
      </c>
    </row>
    <row r="57" spans="1:16">
      <c r="A57" s="2">
        <v>46043</v>
      </c>
      <c r="B57" t="s">
        <v>122</v>
      </c>
      <c r="C57" t="s">
        <v>56</v>
      </c>
      <c r="D57" t="s">
        <v>52</v>
      </c>
      <c r="E57" t="s">
        <v>43</v>
      </c>
      <c r="F57" s="3">
        <v>1449.14</v>
      </c>
      <c r="G57" t="s">
        <v>36</v>
      </c>
      <c r="H57" t="s">
        <v>58</v>
      </c>
      <c r="I57">
        <v>30</v>
      </c>
      <c r="J57" s="2">
        <v>46073</v>
      </c>
      <c r="K57" t="s">
        <v>38</v>
      </c>
      <c r="L57" s="2"/>
      <c r="M57" s="3">
        <v>0</v>
      </c>
      <c r="N57" s="3">
        <v>1449.14</v>
      </c>
      <c r="O57">
        <v>0</v>
      </c>
      <c r="P57" t="s">
        <v>39</v>
      </c>
    </row>
    <row r="58" spans="1:16">
      <c r="A58" s="2">
        <v>46043</v>
      </c>
      <c r="B58" t="s">
        <v>123</v>
      </c>
      <c r="C58" t="s">
        <v>74</v>
      </c>
      <c r="D58" t="s">
        <v>42</v>
      </c>
      <c r="E58" t="s">
        <v>43</v>
      </c>
      <c r="F58" s="3">
        <v>766.44</v>
      </c>
      <c r="G58" t="s">
        <v>44</v>
      </c>
      <c r="H58" t="s">
        <v>69</v>
      </c>
      <c r="I58">
        <v>45</v>
      </c>
      <c r="J58" s="2">
        <v>46088</v>
      </c>
      <c r="K58" t="s">
        <v>38</v>
      </c>
      <c r="L58" s="2"/>
      <c r="M58" s="3">
        <v>0</v>
      </c>
      <c r="N58" s="3">
        <v>766.44</v>
      </c>
      <c r="O58">
        <v>0</v>
      </c>
      <c r="P58" t="s">
        <v>39</v>
      </c>
    </row>
    <row r="59" spans="1:16">
      <c r="A59" s="2">
        <v>46044</v>
      </c>
      <c r="B59" t="s">
        <v>124</v>
      </c>
      <c r="C59" t="s">
        <v>84</v>
      </c>
      <c r="D59" t="s">
        <v>52</v>
      </c>
      <c r="E59" t="s">
        <v>43</v>
      </c>
      <c r="F59" s="3">
        <v>3506.48</v>
      </c>
      <c r="G59" t="s">
        <v>71</v>
      </c>
      <c r="H59" t="s">
        <v>58</v>
      </c>
      <c r="I59">
        <v>45</v>
      </c>
      <c r="J59" s="2">
        <v>46089</v>
      </c>
      <c r="K59" t="s">
        <v>38</v>
      </c>
      <c r="L59" s="2"/>
      <c r="M59" s="3">
        <v>0</v>
      </c>
      <c r="N59" s="3">
        <v>3506.48</v>
      </c>
      <c r="O59">
        <v>0</v>
      </c>
      <c r="P59" t="s">
        <v>39</v>
      </c>
    </row>
    <row r="60" spans="1:16">
      <c r="A60" s="2">
        <v>46044</v>
      </c>
      <c r="B60" t="s">
        <v>125</v>
      </c>
      <c r="C60" t="s">
        <v>64</v>
      </c>
      <c r="D60" t="s">
        <v>34</v>
      </c>
      <c r="E60" t="s">
        <v>48</v>
      </c>
      <c r="F60" s="3">
        <v>759.66</v>
      </c>
      <c r="G60" t="s">
        <v>44</v>
      </c>
      <c r="H60" t="s">
        <v>58</v>
      </c>
      <c r="I60">
        <v>15</v>
      </c>
      <c r="J60" s="2">
        <v>46059</v>
      </c>
      <c r="K60" t="s">
        <v>50</v>
      </c>
      <c r="L60" s="2">
        <v>46060</v>
      </c>
      <c r="M60" s="3">
        <v>759.66</v>
      </c>
      <c r="N60" s="3">
        <v>0</v>
      </c>
      <c r="O60">
        <v>0</v>
      </c>
      <c r="P60" t="s">
        <v>39</v>
      </c>
    </row>
    <row r="61" spans="1:16">
      <c r="A61" s="2">
        <v>46044</v>
      </c>
      <c r="B61" t="s">
        <v>126</v>
      </c>
      <c r="C61" t="s">
        <v>64</v>
      </c>
      <c r="D61" t="s">
        <v>34</v>
      </c>
      <c r="E61" t="s">
        <v>57</v>
      </c>
      <c r="F61" s="3">
        <v>616.74</v>
      </c>
      <c r="G61" t="s">
        <v>71</v>
      </c>
      <c r="H61" t="s">
        <v>62</v>
      </c>
      <c r="I61">
        <v>30</v>
      </c>
      <c r="J61" s="2">
        <v>46074</v>
      </c>
      <c r="K61" t="s">
        <v>50</v>
      </c>
      <c r="L61" s="2">
        <v>46085</v>
      </c>
      <c r="M61" s="3">
        <v>616.74</v>
      </c>
      <c r="N61" s="3">
        <v>0</v>
      </c>
      <c r="O61">
        <v>0</v>
      </c>
      <c r="P61" t="s">
        <v>39</v>
      </c>
    </row>
    <row r="62" spans="1:16">
      <c r="A62" s="2">
        <v>46045</v>
      </c>
      <c r="B62" t="s">
        <v>127</v>
      </c>
      <c r="C62" t="s">
        <v>74</v>
      </c>
      <c r="D62" t="s">
        <v>42</v>
      </c>
      <c r="E62" t="s">
        <v>43</v>
      </c>
      <c r="F62" s="3">
        <v>2926.93</v>
      </c>
      <c r="G62" t="s">
        <v>49</v>
      </c>
      <c r="H62" t="s">
        <v>62</v>
      </c>
      <c r="I62">
        <v>30</v>
      </c>
      <c r="J62" s="2">
        <v>46075</v>
      </c>
      <c r="K62" t="s">
        <v>72</v>
      </c>
      <c r="L62" s="2"/>
      <c r="M62" s="3">
        <v>0</v>
      </c>
      <c r="N62" s="3">
        <v>2926.93</v>
      </c>
      <c r="O62">
        <v>183</v>
      </c>
      <c r="P62" t="s">
        <v>39</v>
      </c>
    </row>
    <row r="63" spans="1:16">
      <c r="A63" s="2">
        <v>46045</v>
      </c>
      <c r="B63" t="s">
        <v>128</v>
      </c>
      <c r="C63" t="s">
        <v>68</v>
      </c>
      <c r="D63" t="s">
        <v>42</v>
      </c>
      <c r="E63" t="s">
        <v>35</v>
      </c>
      <c r="F63" s="3">
        <v>805.55</v>
      </c>
      <c r="G63" t="s">
        <v>36</v>
      </c>
      <c r="H63" t="s">
        <v>66</v>
      </c>
      <c r="I63">
        <v>30</v>
      </c>
      <c r="J63" s="2">
        <v>46075</v>
      </c>
      <c r="K63" t="s">
        <v>38</v>
      </c>
      <c r="L63" s="2"/>
      <c r="M63" s="3">
        <v>0</v>
      </c>
      <c r="N63" s="3">
        <v>805.55</v>
      </c>
      <c r="O63">
        <v>0</v>
      </c>
      <c r="P63" t="s">
        <v>39</v>
      </c>
    </row>
    <row r="64" spans="1:16">
      <c r="A64" s="2">
        <v>46046</v>
      </c>
      <c r="B64" t="s">
        <v>129</v>
      </c>
      <c r="C64" t="s">
        <v>68</v>
      </c>
      <c r="D64" t="s">
        <v>65</v>
      </c>
      <c r="E64" t="s">
        <v>48</v>
      </c>
      <c r="F64" s="3">
        <v>1926</v>
      </c>
      <c r="G64" t="s">
        <v>49</v>
      </c>
      <c r="H64" t="s">
        <v>37</v>
      </c>
      <c r="I64">
        <v>45</v>
      </c>
      <c r="J64" s="2">
        <v>46091</v>
      </c>
      <c r="K64" t="s">
        <v>38</v>
      </c>
      <c r="L64" s="2"/>
      <c r="M64" s="3">
        <v>0</v>
      </c>
      <c r="N64" s="3">
        <v>1926</v>
      </c>
      <c r="O64">
        <v>0</v>
      </c>
      <c r="P64" t="s">
        <v>39</v>
      </c>
    </row>
    <row r="65" spans="1:16">
      <c r="A65" s="2">
        <v>46046</v>
      </c>
      <c r="B65" t="s">
        <v>130</v>
      </c>
      <c r="C65" t="s">
        <v>47</v>
      </c>
      <c r="D65" t="s">
        <v>52</v>
      </c>
      <c r="E65" t="s">
        <v>43</v>
      </c>
      <c r="F65" s="3">
        <v>683.92</v>
      </c>
      <c r="G65" t="s">
        <v>71</v>
      </c>
      <c r="H65" t="s">
        <v>37</v>
      </c>
      <c r="I65">
        <v>30</v>
      </c>
      <c r="J65" s="2">
        <v>46076</v>
      </c>
      <c r="K65" t="s">
        <v>50</v>
      </c>
      <c r="L65" s="2">
        <v>46083</v>
      </c>
      <c r="M65" s="3">
        <v>683.92</v>
      </c>
      <c r="N65" s="3">
        <v>0</v>
      </c>
      <c r="O65">
        <v>0</v>
      </c>
      <c r="P65" t="s">
        <v>39</v>
      </c>
    </row>
    <row r="66" spans="1:16">
      <c r="A66" s="2">
        <v>46046</v>
      </c>
      <c r="B66" t="s">
        <v>131</v>
      </c>
      <c r="C66" t="s">
        <v>84</v>
      </c>
      <c r="D66" t="s">
        <v>65</v>
      </c>
      <c r="E66" t="s">
        <v>53</v>
      </c>
      <c r="F66" s="3">
        <v>2136.0100000000002</v>
      </c>
      <c r="G66" t="s">
        <v>49</v>
      </c>
      <c r="H66" t="s">
        <v>58</v>
      </c>
      <c r="I66">
        <v>7</v>
      </c>
      <c r="J66" s="2">
        <v>46053</v>
      </c>
      <c r="K66" t="s">
        <v>50</v>
      </c>
      <c r="L66" s="2">
        <v>46057</v>
      </c>
      <c r="M66" s="3">
        <v>2136.0100000000002</v>
      </c>
      <c r="N66" s="3">
        <v>0</v>
      </c>
      <c r="O66">
        <v>0</v>
      </c>
      <c r="P66" t="s">
        <v>39</v>
      </c>
    </row>
    <row r="67" spans="1:16">
      <c r="A67" s="2">
        <v>46046</v>
      </c>
      <c r="B67" t="s">
        <v>132</v>
      </c>
      <c r="C67" t="s">
        <v>74</v>
      </c>
      <c r="D67" t="s">
        <v>42</v>
      </c>
      <c r="E67" t="s">
        <v>48</v>
      </c>
      <c r="F67" s="3">
        <v>1770.58</v>
      </c>
      <c r="G67" t="s">
        <v>36</v>
      </c>
      <c r="H67" t="s">
        <v>69</v>
      </c>
      <c r="I67">
        <v>7</v>
      </c>
      <c r="J67" s="2">
        <v>46053</v>
      </c>
      <c r="K67" t="s">
        <v>50</v>
      </c>
      <c r="L67" s="2">
        <v>46056</v>
      </c>
      <c r="M67" s="3">
        <v>1770.58</v>
      </c>
      <c r="N67" s="3">
        <v>0</v>
      </c>
      <c r="O67">
        <v>0</v>
      </c>
      <c r="P67" t="s">
        <v>39</v>
      </c>
    </row>
    <row r="68" spans="1:16">
      <c r="A68" s="2">
        <v>46046</v>
      </c>
      <c r="B68" t="s">
        <v>133</v>
      </c>
      <c r="C68" t="s">
        <v>33</v>
      </c>
      <c r="D68" t="s">
        <v>42</v>
      </c>
      <c r="E68" t="s">
        <v>43</v>
      </c>
      <c r="F68" s="3">
        <v>1272.99</v>
      </c>
      <c r="G68" t="s">
        <v>44</v>
      </c>
      <c r="H68" t="s">
        <v>62</v>
      </c>
      <c r="I68">
        <v>30</v>
      </c>
      <c r="J68" s="2">
        <v>46076</v>
      </c>
      <c r="K68" t="s">
        <v>50</v>
      </c>
      <c r="L68" s="2">
        <v>46086</v>
      </c>
      <c r="M68" s="3">
        <v>1272.99</v>
      </c>
      <c r="N68" s="3">
        <v>0</v>
      </c>
      <c r="O68">
        <v>0</v>
      </c>
      <c r="P68" t="s">
        <v>39</v>
      </c>
    </row>
    <row r="69" spans="1:16">
      <c r="A69" s="2">
        <v>46047</v>
      </c>
      <c r="B69" t="s">
        <v>134</v>
      </c>
      <c r="C69" t="s">
        <v>82</v>
      </c>
      <c r="D69" t="s">
        <v>34</v>
      </c>
      <c r="E69" t="s">
        <v>53</v>
      </c>
      <c r="F69" s="3">
        <v>535.77</v>
      </c>
      <c r="G69" t="s">
        <v>44</v>
      </c>
      <c r="H69" t="s">
        <v>62</v>
      </c>
      <c r="I69">
        <v>30</v>
      </c>
      <c r="J69" s="2">
        <v>46077</v>
      </c>
      <c r="K69" t="s">
        <v>50</v>
      </c>
      <c r="L69" s="2">
        <v>46084</v>
      </c>
      <c r="M69" s="3">
        <v>535.77</v>
      </c>
      <c r="N69" s="3">
        <v>0</v>
      </c>
      <c r="O69">
        <v>0</v>
      </c>
      <c r="P69" t="s">
        <v>39</v>
      </c>
    </row>
    <row r="70" spans="1:16">
      <c r="A70" s="2">
        <v>46048</v>
      </c>
      <c r="B70" t="s">
        <v>135</v>
      </c>
      <c r="C70" t="s">
        <v>61</v>
      </c>
      <c r="D70" t="s">
        <v>34</v>
      </c>
      <c r="E70" t="s">
        <v>48</v>
      </c>
      <c r="F70" s="3">
        <v>424.65</v>
      </c>
      <c r="G70" t="s">
        <v>49</v>
      </c>
      <c r="H70" t="s">
        <v>66</v>
      </c>
      <c r="I70">
        <v>7</v>
      </c>
      <c r="J70" s="2">
        <v>46055</v>
      </c>
      <c r="K70" t="s">
        <v>50</v>
      </c>
      <c r="L70" s="2">
        <v>46060</v>
      </c>
      <c r="M70" s="3">
        <v>424.65</v>
      </c>
      <c r="N70" s="3">
        <v>0</v>
      </c>
      <c r="O70">
        <v>0</v>
      </c>
      <c r="P70" t="s">
        <v>39</v>
      </c>
    </row>
    <row r="71" spans="1:16">
      <c r="A71" s="2">
        <v>46049</v>
      </c>
      <c r="B71" t="s">
        <v>136</v>
      </c>
      <c r="C71" t="s">
        <v>64</v>
      </c>
      <c r="D71" t="s">
        <v>65</v>
      </c>
      <c r="E71" t="s">
        <v>53</v>
      </c>
      <c r="F71" s="3">
        <v>2268.69</v>
      </c>
      <c r="G71" t="s">
        <v>71</v>
      </c>
      <c r="H71" t="s">
        <v>37</v>
      </c>
      <c r="I71">
        <v>30</v>
      </c>
      <c r="J71" s="2">
        <v>46079</v>
      </c>
      <c r="K71" t="s">
        <v>72</v>
      </c>
      <c r="L71" s="2"/>
      <c r="M71" s="3">
        <v>0</v>
      </c>
      <c r="N71" s="3">
        <v>2268.69</v>
      </c>
      <c r="O71">
        <v>179</v>
      </c>
      <c r="P71" t="s">
        <v>39</v>
      </c>
    </row>
    <row r="72" spans="1:16">
      <c r="A72" s="2">
        <v>46049</v>
      </c>
      <c r="B72" t="s">
        <v>137</v>
      </c>
      <c r="C72" t="s">
        <v>47</v>
      </c>
      <c r="D72" t="s">
        <v>52</v>
      </c>
      <c r="E72" t="s">
        <v>57</v>
      </c>
      <c r="F72" s="3">
        <v>3862.46</v>
      </c>
      <c r="G72" t="s">
        <v>44</v>
      </c>
      <c r="H72" t="s">
        <v>37</v>
      </c>
      <c r="I72">
        <v>7</v>
      </c>
      <c r="J72" s="2">
        <v>46056</v>
      </c>
      <c r="K72" t="s">
        <v>50</v>
      </c>
      <c r="L72" s="2">
        <v>46057</v>
      </c>
      <c r="M72" s="3">
        <v>3862.46</v>
      </c>
      <c r="N72" s="3">
        <v>0</v>
      </c>
      <c r="O72">
        <v>0</v>
      </c>
      <c r="P72" t="s">
        <v>39</v>
      </c>
    </row>
    <row r="73" spans="1:16">
      <c r="A73" s="2">
        <v>46049</v>
      </c>
      <c r="B73" t="s">
        <v>138</v>
      </c>
      <c r="C73" t="s">
        <v>47</v>
      </c>
      <c r="D73" t="s">
        <v>65</v>
      </c>
      <c r="E73" t="s">
        <v>53</v>
      </c>
      <c r="F73" s="3">
        <v>757.35</v>
      </c>
      <c r="G73" t="s">
        <v>71</v>
      </c>
      <c r="H73" t="s">
        <v>69</v>
      </c>
      <c r="I73">
        <v>45</v>
      </c>
      <c r="J73" s="2">
        <v>46094</v>
      </c>
      <c r="K73" t="s">
        <v>38</v>
      </c>
      <c r="L73" s="2"/>
      <c r="M73" s="3">
        <v>0</v>
      </c>
      <c r="N73" s="3">
        <v>757.35</v>
      </c>
      <c r="O73">
        <v>0</v>
      </c>
      <c r="P73" t="s">
        <v>39</v>
      </c>
    </row>
    <row r="74" spans="1:16">
      <c r="A74" s="2">
        <v>46049</v>
      </c>
      <c r="B74" t="s">
        <v>139</v>
      </c>
      <c r="C74" t="s">
        <v>74</v>
      </c>
      <c r="D74" t="s">
        <v>52</v>
      </c>
      <c r="E74" t="s">
        <v>35</v>
      </c>
      <c r="F74" s="3">
        <v>708.87</v>
      </c>
      <c r="G74" t="s">
        <v>36</v>
      </c>
      <c r="H74" t="s">
        <v>62</v>
      </c>
      <c r="I74">
        <v>30</v>
      </c>
      <c r="J74" s="2">
        <v>46079</v>
      </c>
      <c r="K74" t="s">
        <v>38</v>
      </c>
      <c r="L74" s="2"/>
      <c r="M74" s="3">
        <v>0</v>
      </c>
      <c r="N74" s="3">
        <v>708.87</v>
      </c>
      <c r="O74">
        <v>0</v>
      </c>
      <c r="P74" t="s">
        <v>39</v>
      </c>
    </row>
    <row r="75" spans="1:16">
      <c r="A75" s="2">
        <v>46050</v>
      </c>
      <c r="B75" t="s">
        <v>140</v>
      </c>
      <c r="C75" t="s">
        <v>41</v>
      </c>
      <c r="D75" t="s">
        <v>42</v>
      </c>
      <c r="E75" t="s">
        <v>35</v>
      </c>
      <c r="F75" s="3">
        <v>1308</v>
      </c>
      <c r="G75" t="s">
        <v>49</v>
      </c>
      <c r="H75" t="s">
        <v>45</v>
      </c>
      <c r="I75">
        <v>15</v>
      </c>
      <c r="J75" s="2">
        <v>46065</v>
      </c>
      <c r="K75" t="s">
        <v>72</v>
      </c>
      <c r="L75" s="2"/>
      <c r="M75" s="3">
        <v>0</v>
      </c>
      <c r="N75" s="3">
        <v>1308</v>
      </c>
      <c r="O75">
        <v>193</v>
      </c>
      <c r="P75" t="s">
        <v>39</v>
      </c>
    </row>
    <row r="76" spans="1:16">
      <c r="A76" s="2">
        <v>46050</v>
      </c>
      <c r="B76" t="s">
        <v>141</v>
      </c>
      <c r="C76" t="s">
        <v>41</v>
      </c>
      <c r="D76" t="s">
        <v>42</v>
      </c>
      <c r="E76" t="s">
        <v>35</v>
      </c>
      <c r="F76" s="3">
        <v>3746.91</v>
      </c>
      <c r="G76" t="s">
        <v>44</v>
      </c>
      <c r="H76" t="s">
        <v>62</v>
      </c>
      <c r="I76">
        <v>30</v>
      </c>
      <c r="J76" s="2">
        <v>46080</v>
      </c>
      <c r="K76" t="s">
        <v>38</v>
      </c>
      <c r="L76" s="2"/>
      <c r="M76" s="3">
        <v>0</v>
      </c>
      <c r="N76" s="3">
        <v>3746.91</v>
      </c>
      <c r="O76">
        <v>0</v>
      </c>
      <c r="P76" t="s">
        <v>39</v>
      </c>
    </row>
    <row r="77" spans="1:16">
      <c r="A77" s="2">
        <v>46050</v>
      </c>
      <c r="B77" t="s">
        <v>142</v>
      </c>
      <c r="C77" t="s">
        <v>41</v>
      </c>
      <c r="D77" t="s">
        <v>52</v>
      </c>
      <c r="E77" t="s">
        <v>43</v>
      </c>
      <c r="F77" s="3">
        <v>1714.56</v>
      </c>
      <c r="G77" t="s">
        <v>44</v>
      </c>
      <c r="H77" t="s">
        <v>58</v>
      </c>
      <c r="I77">
        <v>7</v>
      </c>
      <c r="J77" s="2">
        <v>46057</v>
      </c>
      <c r="K77" t="s">
        <v>38</v>
      </c>
      <c r="L77" s="2"/>
      <c r="M77" s="3">
        <v>0</v>
      </c>
      <c r="N77" s="3">
        <v>1714.56</v>
      </c>
      <c r="O77">
        <v>0</v>
      </c>
      <c r="P77" t="s">
        <v>39</v>
      </c>
    </row>
    <row r="78" spans="1:16">
      <c r="A78" s="2">
        <v>46050</v>
      </c>
      <c r="B78" t="s">
        <v>143</v>
      </c>
      <c r="C78" t="s">
        <v>84</v>
      </c>
      <c r="D78" t="s">
        <v>65</v>
      </c>
      <c r="E78" t="s">
        <v>35</v>
      </c>
      <c r="F78" s="3">
        <v>1962.85</v>
      </c>
      <c r="G78" t="s">
        <v>36</v>
      </c>
      <c r="H78" t="s">
        <v>37</v>
      </c>
      <c r="I78">
        <v>30</v>
      </c>
      <c r="J78" s="2">
        <v>46080</v>
      </c>
      <c r="K78" t="s">
        <v>50</v>
      </c>
      <c r="L78" s="2">
        <v>46084</v>
      </c>
      <c r="M78" s="3">
        <v>1962.85</v>
      </c>
      <c r="N78" s="3">
        <v>0</v>
      </c>
      <c r="O78">
        <v>0</v>
      </c>
      <c r="P78" t="s">
        <v>39</v>
      </c>
    </row>
    <row r="79" spans="1:16">
      <c r="A79" s="2">
        <v>46050</v>
      </c>
      <c r="B79" t="s">
        <v>144</v>
      </c>
      <c r="C79" t="s">
        <v>68</v>
      </c>
      <c r="D79" t="s">
        <v>65</v>
      </c>
      <c r="E79" t="s">
        <v>48</v>
      </c>
      <c r="F79" s="3">
        <v>1146.49</v>
      </c>
      <c r="G79" t="s">
        <v>44</v>
      </c>
      <c r="H79" t="s">
        <v>62</v>
      </c>
      <c r="I79">
        <v>7</v>
      </c>
      <c r="J79" s="2">
        <v>46057</v>
      </c>
      <c r="K79" t="s">
        <v>50</v>
      </c>
      <c r="L79" s="2">
        <v>46068</v>
      </c>
      <c r="M79" s="3">
        <v>1146.49</v>
      </c>
      <c r="N79" s="3">
        <v>0</v>
      </c>
      <c r="O79">
        <v>0</v>
      </c>
      <c r="P79" t="s">
        <v>39</v>
      </c>
    </row>
    <row r="80" spans="1:16">
      <c r="A80" s="2">
        <v>46051</v>
      </c>
      <c r="B80" t="s">
        <v>145</v>
      </c>
      <c r="C80" t="s">
        <v>33</v>
      </c>
      <c r="D80" t="s">
        <v>52</v>
      </c>
      <c r="E80" t="s">
        <v>53</v>
      </c>
      <c r="F80" s="3">
        <v>1982.54</v>
      </c>
      <c r="G80" t="s">
        <v>71</v>
      </c>
      <c r="H80" t="s">
        <v>62</v>
      </c>
      <c r="I80">
        <v>15</v>
      </c>
      <c r="J80" s="2">
        <v>46066</v>
      </c>
      <c r="K80" t="s">
        <v>72</v>
      </c>
      <c r="L80" s="2"/>
      <c r="M80" s="3">
        <v>0</v>
      </c>
      <c r="N80" s="3">
        <v>1982.54</v>
      </c>
      <c r="O80">
        <v>192</v>
      </c>
      <c r="P80" t="s">
        <v>39</v>
      </c>
    </row>
    <row r="81" spans="1:16">
      <c r="A81" s="2">
        <v>46051</v>
      </c>
      <c r="B81" t="s">
        <v>146</v>
      </c>
      <c r="C81" t="s">
        <v>84</v>
      </c>
      <c r="D81" t="s">
        <v>52</v>
      </c>
      <c r="E81" t="s">
        <v>57</v>
      </c>
      <c r="F81" s="3">
        <v>3870.83</v>
      </c>
      <c r="G81" t="s">
        <v>71</v>
      </c>
      <c r="H81" t="s">
        <v>62</v>
      </c>
      <c r="I81">
        <v>30</v>
      </c>
      <c r="J81" s="2">
        <v>46081</v>
      </c>
      <c r="K81" t="s">
        <v>50</v>
      </c>
      <c r="L81" s="2">
        <v>46083</v>
      </c>
      <c r="M81" s="3">
        <v>3870.83</v>
      </c>
      <c r="N81" s="3">
        <v>0</v>
      </c>
      <c r="O81">
        <v>0</v>
      </c>
      <c r="P81" t="s">
        <v>39</v>
      </c>
    </row>
    <row r="82" spans="1:16">
      <c r="A82" s="2">
        <v>46051</v>
      </c>
      <c r="B82" t="s">
        <v>147</v>
      </c>
      <c r="C82" t="s">
        <v>47</v>
      </c>
      <c r="D82" t="s">
        <v>42</v>
      </c>
      <c r="E82" t="s">
        <v>53</v>
      </c>
      <c r="F82" s="3">
        <v>984.62</v>
      </c>
      <c r="G82" t="s">
        <v>71</v>
      </c>
      <c r="H82" t="s">
        <v>66</v>
      </c>
      <c r="I82">
        <v>30</v>
      </c>
      <c r="J82" s="2">
        <v>46081</v>
      </c>
      <c r="K82" t="s">
        <v>50</v>
      </c>
      <c r="L82" s="2">
        <v>46083</v>
      </c>
      <c r="M82" s="3">
        <v>984.62</v>
      </c>
      <c r="N82" s="3">
        <v>0</v>
      </c>
      <c r="O82">
        <v>0</v>
      </c>
      <c r="P82" t="s">
        <v>39</v>
      </c>
    </row>
    <row r="83" spans="1:16">
      <c r="A83" s="2">
        <v>46052</v>
      </c>
      <c r="B83" t="s">
        <v>148</v>
      </c>
      <c r="C83" t="s">
        <v>82</v>
      </c>
      <c r="D83" t="s">
        <v>42</v>
      </c>
      <c r="E83" t="s">
        <v>53</v>
      </c>
      <c r="F83" s="3">
        <v>2280.41</v>
      </c>
      <c r="G83" t="s">
        <v>71</v>
      </c>
      <c r="H83" t="s">
        <v>62</v>
      </c>
      <c r="I83">
        <v>15</v>
      </c>
      <c r="J83" s="2">
        <v>46067</v>
      </c>
      <c r="K83" t="s">
        <v>50</v>
      </c>
      <c r="L83" s="2">
        <v>46068</v>
      </c>
      <c r="M83" s="3">
        <v>2280.41</v>
      </c>
      <c r="N83" s="3">
        <v>0</v>
      </c>
      <c r="O83">
        <v>0</v>
      </c>
      <c r="P83" t="s">
        <v>39</v>
      </c>
    </row>
    <row r="84" spans="1:16">
      <c r="A84" s="2">
        <v>46052</v>
      </c>
      <c r="B84" t="s">
        <v>149</v>
      </c>
      <c r="C84" t="s">
        <v>61</v>
      </c>
      <c r="D84" t="s">
        <v>34</v>
      </c>
      <c r="E84" t="s">
        <v>35</v>
      </c>
      <c r="F84" s="3">
        <v>851.49</v>
      </c>
      <c r="G84" t="s">
        <v>36</v>
      </c>
      <c r="H84" t="s">
        <v>45</v>
      </c>
      <c r="I84">
        <v>30</v>
      </c>
      <c r="J84" s="2">
        <v>46082</v>
      </c>
      <c r="K84" t="s">
        <v>72</v>
      </c>
      <c r="L84" s="2"/>
      <c r="M84" s="3">
        <v>0</v>
      </c>
      <c r="N84" s="3">
        <v>851.49</v>
      </c>
      <c r="O84">
        <v>176</v>
      </c>
      <c r="P84" t="s">
        <v>39</v>
      </c>
    </row>
    <row r="85" spans="1:16">
      <c r="A85" s="2">
        <v>46054</v>
      </c>
      <c r="B85" t="s">
        <v>150</v>
      </c>
      <c r="C85" t="s">
        <v>84</v>
      </c>
      <c r="D85" t="s">
        <v>34</v>
      </c>
      <c r="E85" t="s">
        <v>43</v>
      </c>
      <c r="F85" s="3">
        <v>3321.27</v>
      </c>
      <c r="G85" t="s">
        <v>49</v>
      </c>
      <c r="H85" t="s">
        <v>37</v>
      </c>
      <c r="I85">
        <v>15</v>
      </c>
      <c r="J85" s="2">
        <v>46069</v>
      </c>
      <c r="K85" t="s">
        <v>50</v>
      </c>
      <c r="L85" s="2">
        <v>46080</v>
      </c>
      <c r="M85" s="3">
        <v>3321.27</v>
      </c>
      <c r="N85" s="3">
        <v>0</v>
      </c>
      <c r="O85">
        <v>0</v>
      </c>
      <c r="P85" t="s">
        <v>151</v>
      </c>
    </row>
    <row r="86" spans="1:16">
      <c r="A86" s="2">
        <v>46054</v>
      </c>
      <c r="B86" t="s">
        <v>152</v>
      </c>
      <c r="C86" t="s">
        <v>74</v>
      </c>
      <c r="D86" t="s">
        <v>65</v>
      </c>
      <c r="E86" t="s">
        <v>57</v>
      </c>
      <c r="F86" s="3">
        <v>1906.14</v>
      </c>
      <c r="G86" t="s">
        <v>44</v>
      </c>
      <c r="H86" t="s">
        <v>58</v>
      </c>
      <c r="I86">
        <v>45</v>
      </c>
      <c r="J86" s="2">
        <v>46099</v>
      </c>
      <c r="K86" t="s">
        <v>38</v>
      </c>
      <c r="L86" s="2"/>
      <c r="M86" s="3">
        <v>0</v>
      </c>
      <c r="N86" s="3">
        <v>1906.14</v>
      </c>
      <c r="O86">
        <v>0</v>
      </c>
      <c r="P86" t="s">
        <v>151</v>
      </c>
    </row>
    <row r="87" spans="1:16">
      <c r="A87" s="2">
        <v>46055</v>
      </c>
      <c r="B87" t="s">
        <v>153</v>
      </c>
      <c r="C87" t="s">
        <v>80</v>
      </c>
      <c r="D87" t="s">
        <v>42</v>
      </c>
      <c r="E87" t="s">
        <v>53</v>
      </c>
      <c r="F87" s="3">
        <v>1459.56</v>
      </c>
      <c r="G87" t="s">
        <v>36</v>
      </c>
      <c r="H87" t="s">
        <v>37</v>
      </c>
      <c r="I87">
        <v>7</v>
      </c>
      <c r="J87" s="2">
        <v>46062</v>
      </c>
      <c r="K87" t="s">
        <v>50</v>
      </c>
      <c r="L87" s="2">
        <v>46062</v>
      </c>
      <c r="M87" s="3">
        <v>1459.56</v>
      </c>
      <c r="N87" s="3">
        <v>0</v>
      </c>
      <c r="O87">
        <v>0</v>
      </c>
      <c r="P87" t="s">
        <v>151</v>
      </c>
    </row>
    <row r="88" spans="1:16">
      <c r="A88" s="2">
        <v>46055</v>
      </c>
      <c r="B88" t="s">
        <v>154</v>
      </c>
      <c r="C88" t="s">
        <v>80</v>
      </c>
      <c r="D88" t="s">
        <v>34</v>
      </c>
      <c r="E88" t="s">
        <v>43</v>
      </c>
      <c r="F88" s="3">
        <v>853.86</v>
      </c>
      <c r="G88" t="s">
        <v>71</v>
      </c>
      <c r="H88" t="s">
        <v>69</v>
      </c>
      <c r="I88">
        <v>15</v>
      </c>
      <c r="J88" s="2">
        <v>46070</v>
      </c>
      <c r="K88" t="s">
        <v>50</v>
      </c>
      <c r="L88" s="2">
        <v>46077</v>
      </c>
      <c r="M88" s="3">
        <v>853.86</v>
      </c>
      <c r="N88" s="3">
        <v>0</v>
      </c>
      <c r="O88">
        <v>0</v>
      </c>
      <c r="P88" t="s">
        <v>151</v>
      </c>
    </row>
    <row r="89" spans="1:16">
      <c r="A89" s="2">
        <v>46055</v>
      </c>
      <c r="B89" t="s">
        <v>155</v>
      </c>
      <c r="C89" t="s">
        <v>80</v>
      </c>
      <c r="D89" t="s">
        <v>65</v>
      </c>
      <c r="E89" t="s">
        <v>57</v>
      </c>
      <c r="F89" s="3">
        <v>848.15</v>
      </c>
      <c r="G89" t="s">
        <v>49</v>
      </c>
      <c r="H89" t="s">
        <v>69</v>
      </c>
      <c r="I89">
        <v>15</v>
      </c>
      <c r="J89" s="2">
        <v>46070</v>
      </c>
      <c r="K89" t="s">
        <v>50</v>
      </c>
      <c r="L89" s="2">
        <v>46071</v>
      </c>
      <c r="M89" s="3">
        <v>848.15</v>
      </c>
      <c r="N89" s="3">
        <v>0</v>
      </c>
      <c r="O89">
        <v>0</v>
      </c>
      <c r="P89" t="s">
        <v>151</v>
      </c>
    </row>
    <row r="90" spans="1:16">
      <c r="A90" s="2">
        <v>46055</v>
      </c>
      <c r="B90" t="s">
        <v>156</v>
      </c>
      <c r="C90" t="s">
        <v>41</v>
      </c>
      <c r="D90" t="s">
        <v>42</v>
      </c>
      <c r="E90" t="s">
        <v>43</v>
      </c>
      <c r="F90" s="3">
        <v>657.24</v>
      </c>
      <c r="G90" t="s">
        <v>49</v>
      </c>
      <c r="H90" t="s">
        <v>37</v>
      </c>
      <c r="I90">
        <v>7</v>
      </c>
      <c r="J90" s="2">
        <v>46062</v>
      </c>
      <c r="K90" t="s">
        <v>50</v>
      </c>
      <c r="L90" s="2">
        <v>46068</v>
      </c>
      <c r="M90" s="3">
        <v>657.24</v>
      </c>
      <c r="N90" s="3">
        <v>0</v>
      </c>
      <c r="O90">
        <v>0</v>
      </c>
      <c r="P90" t="s">
        <v>151</v>
      </c>
    </row>
    <row r="91" spans="1:16">
      <c r="A91" s="2">
        <v>46055</v>
      </c>
      <c r="B91" t="s">
        <v>157</v>
      </c>
      <c r="C91" t="s">
        <v>64</v>
      </c>
      <c r="D91" t="s">
        <v>42</v>
      </c>
      <c r="E91" t="s">
        <v>53</v>
      </c>
      <c r="F91" s="3">
        <v>2380.9299999999998</v>
      </c>
      <c r="G91" t="s">
        <v>44</v>
      </c>
      <c r="H91" t="s">
        <v>62</v>
      </c>
      <c r="I91">
        <v>15</v>
      </c>
      <c r="J91" s="2">
        <v>46070</v>
      </c>
      <c r="K91" t="s">
        <v>50</v>
      </c>
      <c r="L91" s="2">
        <v>46079</v>
      </c>
      <c r="M91" s="3">
        <v>2380.9299999999998</v>
      </c>
      <c r="N91" s="3">
        <v>0</v>
      </c>
      <c r="O91">
        <v>0</v>
      </c>
      <c r="P91" t="s">
        <v>151</v>
      </c>
    </row>
    <row r="92" spans="1:16">
      <c r="A92" s="2">
        <v>46055</v>
      </c>
      <c r="B92" t="s">
        <v>158</v>
      </c>
      <c r="C92" t="s">
        <v>74</v>
      </c>
      <c r="D92" t="s">
        <v>42</v>
      </c>
      <c r="E92" t="s">
        <v>35</v>
      </c>
      <c r="F92" s="3">
        <v>1072.53</v>
      </c>
      <c r="G92" t="s">
        <v>44</v>
      </c>
      <c r="H92" t="s">
        <v>58</v>
      </c>
      <c r="I92">
        <v>30</v>
      </c>
      <c r="J92" s="2">
        <v>46085</v>
      </c>
      <c r="K92" t="s">
        <v>50</v>
      </c>
      <c r="L92" s="2">
        <v>46088</v>
      </c>
      <c r="M92" s="3">
        <v>1072.53</v>
      </c>
      <c r="N92" s="3">
        <v>0</v>
      </c>
      <c r="O92">
        <v>0</v>
      </c>
      <c r="P92" t="s">
        <v>151</v>
      </c>
    </row>
    <row r="93" spans="1:16">
      <c r="A93" s="2">
        <v>46056</v>
      </c>
      <c r="B93" t="s">
        <v>159</v>
      </c>
      <c r="C93" t="s">
        <v>90</v>
      </c>
      <c r="D93" t="s">
        <v>65</v>
      </c>
      <c r="E93" t="s">
        <v>53</v>
      </c>
      <c r="F93" s="3">
        <v>1957.32</v>
      </c>
      <c r="G93" t="s">
        <v>36</v>
      </c>
      <c r="H93" t="s">
        <v>69</v>
      </c>
      <c r="I93">
        <v>30</v>
      </c>
      <c r="J93" s="2">
        <v>46086</v>
      </c>
      <c r="K93" t="s">
        <v>38</v>
      </c>
      <c r="L93" s="2"/>
      <c r="M93" s="3">
        <v>0</v>
      </c>
      <c r="N93" s="3">
        <v>1957.32</v>
      </c>
      <c r="O93">
        <v>0</v>
      </c>
      <c r="P93" t="s">
        <v>151</v>
      </c>
    </row>
    <row r="94" spans="1:16">
      <c r="A94" s="2">
        <v>46056</v>
      </c>
      <c r="B94" t="s">
        <v>160</v>
      </c>
      <c r="C94" t="s">
        <v>64</v>
      </c>
      <c r="D94" t="s">
        <v>52</v>
      </c>
      <c r="E94" t="s">
        <v>43</v>
      </c>
      <c r="F94" s="3">
        <v>950.15</v>
      </c>
      <c r="G94" t="s">
        <v>44</v>
      </c>
      <c r="H94" t="s">
        <v>37</v>
      </c>
      <c r="I94">
        <v>15</v>
      </c>
      <c r="J94" s="2">
        <v>46071</v>
      </c>
      <c r="K94" t="s">
        <v>50</v>
      </c>
      <c r="L94" s="2">
        <v>46077</v>
      </c>
      <c r="M94" s="3">
        <v>950.15</v>
      </c>
      <c r="N94" s="3">
        <v>0</v>
      </c>
      <c r="O94">
        <v>0</v>
      </c>
      <c r="P94" t="s">
        <v>151</v>
      </c>
    </row>
    <row r="95" spans="1:16">
      <c r="A95" s="2">
        <v>46057</v>
      </c>
      <c r="B95" t="s">
        <v>161</v>
      </c>
      <c r="C95" t="s">
        <v>74</v>
      </c>
      <c r="D95" t="s">
        <v>34</v>
      </c>
      <c r="E95" t="s">
        <v>48</v>
      </c>
      <c r="F95" s="3">
        <v>951.38</v>
      </c>
      <c r="G95" t="s">
        <v>44</v>
      </c>
      <c r="H95" t="s">
        <v>37</v>
      </c>
      <c r="I95">
        <v>45</v>
      </c>
      <c r="J95" s="2">
        <v>46102</v>
      </c>
      <c r="K95" t="s">
        <v>50</v>
      </c>
      <c r="L95" s="2">
        <v>46106</v>
      </c>
      <c r="M95" s="3">
        <v>951.38</v>
      </c>
      <c r="N95" s="3">
        <v>0</v>
      </c>
      <c r="O95">
        <v>0</v>
      </c>
      <c r="P95" t="s">
        <v>151</v>
      </c>
    </row>
    <row r="96" spans="1:16">
      <c r="A96" s="2">
        <v>46057</v>
      </c>
      <c r="B96" t="s">
        <v>162</v>
      </c>
      <c r="C96" t="s">
        <v>80</v>
      </c>
      <c r="D96" t="s">
        <v>42</v>
      </c>
      <c r="E96" t="s">
        <v>35</v>
      </c>
      <c r="F96" s="3">
        <v>1411.93</v>
      </c>
      <c r="G96" t="s">
        <v>36</v>
      </c>
      <c r="H96" t="s">
        <v>66</v>
      </c>
      <c r="I96">
        <v>30</v>
      </c>
      <c r="J96" s="2">
        <v>46087</v>
      </c>
      <c r="K96" t="s">
        <v>38</v>
      </c>
      <c r="L96" s="2"/>
      <c r="M96" s="3">
        <v>0</v>
      </c>
      <c r="N96" s="3">
        <v>1411.93</v>
      </c>
      <c r="O96">
        <v>0</v>
      </c>
      <c r="P96" t="s">
        <v>151</v>
      </c>
    </row>
    <row r="97" spans="1:16">
      <c r="A97" s="2">
        <v>46057</v>
      </c>
      <c r="B97" t="s">
        <v>163</v>
      </c>
      <c r="C97" t="s">
        <v>80</v>
      </c>
      <c r="D97" t="s">
        <v>52</v>
      </c>
      <c r="E97" t="s">
        <v>57</v>
      </c>
      <c r="F97" s="3">
        <v>2446.39</v>
      </c>
      <c r="G97" t="s">
        <v>44</v>
      </c>
      <c r="H97" t="s">
        <v>37</v>
      </c>
      <c r="I97">
        <v>30</v>
      </c>
      <c r="J97" s="2">
        <v>46087</v>
      </c>
      <c r="K97" t="s">
        <v>50</v>
      </c>
      <c r="L97" s="2">
        <v>46096</v>
      </c>
      <c r="M97" s="3">
        <v>2446.39</v>
      </c>
      <c r="N97" s="3">
        <v>0</v>
      </c>
      <c r="O97">
        <v>0</v>
      </c>
      <c r="P97" t="s">
        <v>151</v>
      </c>
    </row>
    <row r="98" spans="1:16">
      <c r="A98" s="2">
        <v>46057</v>
      </c>
      <c r="B98" t="s">
        <v>164</v>
      </c>
      <c r="C98" t="s">
        <v>84</v>
      </c>
      <c r="D98" t="s">
        <v>42</v>
      </c>
      <c r="E98" t="s">
        <v>57</v>
      </c>
      <c r="F98" s="3">
        <v>774.67</v>
      </c>
      <c r="G98" t="s">
        <v>36</v>
      </c>
      <c r="H98" t="s">
        <v>66</v>
      </c>
      <c r="I98">
        <v>15</v>
      </c>
      <c r="J98" s="2">
        <v>46072</v>
      </c>
      <c r="K98" t="s">
        <v>38</v>
      </c>
      <c r="L98" s="2"/>
      <c r="M98" s="3">
        <v>0</v>
      </c>
      <c r="N98" s="3">
        <v>774.67</v>
      </c>
      <c r="O98">
        <v>0</v>
      </c>
      <c r="P98" t="s">
        <v>151</v>
      </c>
    </row>
    <row r="99" spans="1:16">
      <c r="A99" s="2">
        <v>46058</v>
      </c>
      <c r="B99" t="s">
        <v>165</v>
      </c>
      <c r="C99" t="s">
        <v>41</v>
      </c>
      <c r="D99" t="s">
        <v>52</v>
      </c>
      <c r="E99" t="s">
        <v>53</v>
      </c>
      <c r="F99" s="3">
        <v>1130.49</v>
      </c>
      <c r="G99" t="s">
        <v>44</v>
      </c>
      <c r="H99" t="s">
        <v>58</v>
      </c>
      <c r="I99">
        <v>30</v>
      </c>
      <c r="J99" s="2">
        <v>46088</v>
      </c>
      <c r="K99" t="s">
        <v>50</v>
      </c>
      <c r="L99" s="2">
        <v>46095</v>
      </c>
      <c r="M99" s="3">
        <v>1130.49</v>
      </c>
      <c r="N99" s="3">
        <v>0</v>
      </c>
      <c r="O99">
        <v>0</v>
      </c>
      <c r="P99" t="s">
        <v>151</v>
      </c>
    </row>
    <row r="100" spans="1:16">
      <c r="A100" s="2">
        <v>46058</v>
      </c>
      <c r="B100" t="s">
        <v>166</v>
      </c>
      <c r="C100" t="s">
        <v>84</v>
      </c>
      <c r="D100" t="s">
        <v>34</v>
      </c>
      <c r="E100" t="s">
        <v>48</v>
      </c>
      <c r="F100" s="3">
        <v>302.97000000000003</v>
      </c>
      <c r="G100" t="s">
        <v>36</v>
      </c>
      <c r="H100" t="s">
        <v>69</v>
      </c>
      <c r="I100">
        <v>30</v>
      </c>
      <c r="J100" s="2">
        <v>46088</v>
      </c>
      <c r="K100" t="s">
        <v>38</v>
      </c>
      <c r="L100" s="2"/>
      <c r="M100" s="3">
        <v>0</v>
      </c>
      <c r="N100" s="3">
        <v>302.97000000000003</v>
      </c>
      <c r="O100">
        <v>0</v>
      </c>
      <c r="P100" t="s">
        <v>151</v>
      </c>
    </row>
    <row r="101" spans="1:16">
      <c r="A101" s="2">
        <v>46059</v>
      </c>
      <c r="B101" t="s">
        <v>167</v>
      </c>
      <c r="C101" t="s">
        <v>47</v>
      </c>
      <c r="D101" t="s">
        <v>34</v>
      </c>
      <c r="E101" t="s">
        <v>35</v>
      </c>
      <c r="F101" s="3">
        <v>4009.07</v>
      </c>
      <c r="G101" t="s">
        <v>71</v>
      </c>
      <c r="H101" t="s">
        <v>66</v>
      </c>
      <c r="I101">
        <v>30</v>
      </c>
      <c r="J101" s="2">
        <v>46089</v>
      </c>
      <c r="K101" t="s">
        <v>50</v>
      </c>
      <c r="L101" s="2">
        <v>46098</v>
      </c>
      <c r="M101" s="3">
        <v>4009.07</v>
      </c>
      <c r="N101" s="3">
        <v>0</v>
      </c>
      <c r="O101">
        <v>0</v>
      </c>
      <c r="P101" t="s">
        <v>151</v>
      </c>
    </row>
    <row r="102" spans="1:16">
      <c r="A102" s="2">
        <v>46059</v>
      </c>
      <c r="B102" t="s">
        <v>168</v>
      </c>
      <c r="C102" t="s">
        <v>64</v>
      </c>
      <c r="D102" t="s">
        <v>34</v>
      </c>
      <c r="E102" t="s">
        <v>35</v>
      </c>
      <c r="F102" s="3">
        <v>750.52</v>
      </c>
      <c r="G102" t="s">
        <v>36</v>
      </c>
      <c r="H102" t="s">
        <v>66</v>
      </c>
      <c r="I102">
        <v>30</v>
      </c>
      <c r="J102" s="2">
        <v>46089</v>
      </c>
      <c r="K102" t="s">
        <v>38</v>
      </c>
      <c r="L102" s="2"/>
      <c r="M102" s="3">
        <v>0</v>
      </c>
      <c r="N102" s="3">
        <v>750.52</v>
      </c>
      <c r="O102">
        <v>0</v>
      </c>
      <c r="P102" t="s">
        <v>151</v>
      </c>
    </row>
    <row r="103" spans="1:16">
      <c r="A103" s="2">
        <v>46059</v>
      </c>
      <c r="B103" t="s">
        <v>169</v>
      </c>
      <c r="C103" t="s">
        <v>74</v>
      </c>
      <c r="D103" t="s">
        <v>52</v>
      </c>
      <c r="E103" t="s">
        <v>53</v>
      </c>
      <c r="F103" s="3">
        <v>2245.75</v>
      </c>
      <c r="G103" t="s">
        <v>44</v>
      </c>
      <c r="H103" t="s">
        <v>69</v>
      </c>
      <c r="I103">
        <v>15</v>
      </c>
      <c r="J103" s="2">
        <v>46074</v>
      </c>
      <c r="K103" t="s">
        <v>50</v>
      </c>
      <c r="L103" s="2">
        <v>46080</v>
      </c>
      <c r="M103" s="3">
        <v>2245.75</v>
      </c>
      <c r="N103" s="3">
        <v>0</v>
      </c>
      <c r="O103">
        <v>0</v>
      </c>
      <c r="P103" t="s">
        <v>151</v>
      </c>
    </row>
    <row r="104" spans="1:16">
      <c r="A104" s="2">
        <v>46060</v>
      </c>
      <c r="B104" t="s">
        <v>170</v>
      </c>
      <c r="C104" t="s">
        <v>64</v>
      </c>
      <c r="D104" t="s">
        <v>42</v>
      </c>
      <c r="E104" t="s">
        <v>53</v>
      </c>
      <c r="F104" s="3">
        <v>1870.15</v>
      </c>
      <c r="G104" t="s">
        <v>71</v>
      </c>
      <c r="H104" t="s">
        <v>66</v>
      </c>
      <c r="I104">
        <v>15</v>
      </c>
      <c r="J104" s="2">
        <v>46075</v>
      </c>
      <c r="K104" t="s">
        <v>72</v>
      </c>
      <c r="L104" s="2"/>
      <c r="M104" s="3">
        <v>0</v>
      </c>
      <c r="N104" s="3">
        <v>1870.15</v>
      </c>
      <c r="O104">
        <v>183</v>
      </c>
      <c r="P104" t="s">
        <v>151</v>
      </c>
    </row>
    <row r="105" spans="1:16">
      <c r="A105" s="2">
        <v>46060</v>
      </c>
      <c r="B105" t="s">
        <v>171</v>
      </c>
      <c r="C105" t="s">
        <v>61</v>
      </c>
      <c r="D105" t="s">
        <v>34</v>
      </c>
      <c r="E105" t="s">
        <v>35</v>
      </c>
      <c r="F105" s="3">
        <v>1674.88</v>
      </c>
      <c r="G105" t="s">
        <v>49</v>
      </c>
      <c r="H105" t="s">
        <v>69</v>
      </c>
      <c r="I105">
        <v>15</v>
      </c>
      <c r="J105" s="2">
        <v>46075</v>
      </c>
      <c r="K105" t="s">
        <v>50</v>
      </c>
      <c r="L105" s="2">
        <v>46078</v>
      </c>
      <c r="M105" s="3">
        <v>1674.88</v>
      </c>
      <c r="N105" s="3">
        <v>0</v>
      </c>
      <c r="O105">
        <v>0</v>
      </c>
      <c r="P105" t="s">
        <v>151</v>
      </c>
    </row>
    <row r="106" spans="1:16">
      <c r="A106" s="2">
        <v>46060</v>
      </c>
      <c r="B106" t="s">
        <v>172</v>
      </c>
      <c r="C106" t="s">
        <v>82</v>
      </c>
      <c r="D106" t="s">
        <v>65</v>
      </c>
      <c r="E106" t="s">
        <v>48</v>
      </c>
      <c r="F106" s="3">
        <v>711.28</v>
      </c>
      <c r="G106" t="s">
        <v>49</v>
      </c>
      <c r="H106" t="s">
        <v>69</v>
      </c>
      <c r="I106">
        <v>30</v>
      </c>
      <c r="J106" s="2">
        <v>46090</v>
      </c>
      <c r="K106" t="s">
        <v>50</v>
      </c>
      <c r="L106" s="2">
        <v>46090</v>
      </c>
      <c r="M106" s="3">
        <v>711.28</v>
      </c>
      <c r="N106" s="3">
        <v>0</v>
      </c>
      <c r="O106">
        <v>0</v>
      </c>
      <c r="P106" t="s">
        <v>151</v>
      </c>
    </row>
    <row r="107" spans="1:16">
      <c r="A107" s="2">
        <v>46061</v>
      </c>
      <c r="B107" t="s">
        <v>173</v>
      </c>
      <c r="C107" t="s">
        <v>41</v>
      </c>
      <c r="D107" t="s">
        <v>34</v>
      </c>
      <c r="E107" t="s">
        <v>57</v>
      </c>
      <c r="F107" s="3">
        <v>2380.5500000000002</v>
      </c>
      <c r="G107" t="s">
        <v>49</v>
      </c>
      <c r="H107" t="s">
        <v>66</v>
      </c>
      <c r="I107">
        <v>30</v>
      </c>
      <c r="J107" s="2">
        <v>46091</v>
      </c>
      <c r="K107" t="s">
        <v>50</v>
      </c>
      <c r="L107" s="2">
        <v>46097</v>
      </c>
      <c r="M107" s="3">
        <v>2380.5500000000002</v>
      </c>
      <c r="N107" s="3">
        <v>0</v>
      </c>
      <c r="O107">
        <v>0</v>
      </c>
      <c r="P107" t="s">
        <v>151</v>
      </c>
    </row>
    <row r="108" spans="1:16">
      <c r="A108" s="2">
        <v>46061</v>
      </c>
      <c r="B108" t="s">
        <v>174</v>
      </c>
      <c r="C108" t="s">
        <v>61</v>
      </c>
      <c r="D108" t="s">
        <v>42</v>
      </c>
      <c r="E108" t="s">
        <v>43</v>
      </c>
      <c r="F108" s="3">
        <v>1363.99</v>
      </c>
      <c r="G108" t="s">
        <v>36</v>
      </c>
      <c r="H108" t="s">
        <v>45</v>
      </c>
      <c r="I108">
        <v>15</v>
      </c>
      <c r="J108" s="2">
        <v>46076</v>
      </c>
      <c r="K108" t="s">
        <v>38</v>
      </c>
      <c r="L108" s="2"/>
      <c r="M108" s="3">
        <v>0</v>
      </c>
      <c r="N108" s="3">
        <v>1363.99</v>
      </c>
      <c r="O108">
        <v>0</v>
      </c>
      <c r="P108" t="s">
        <v>151</v>
      </c>
    </row>
    <row r="109" spans="1:16">
      <c r="A109" s="2">
        <v>46061</v>
      </c>
      <c r="B109" t="s">
        <v>175</v>
      </c>
      <c r="C109" t="s">
        <v>33</v>
      </c>
      <c r="D109" t="s">
        <v>42</v>
      </c>
      <c r="E109" t="s">
        <v>43</v>
      </c>
      <c r="F109" s="3">
        <v>851.05</v>
      </c>
      <c r="G109" t="s">
        <v>71</v>
      </c>
      <c r="H109" t="s">
        <v>45</v>
      </c>
      <c r="I109">
        <v>45</v>
      </c>
      <c r="J109" s="2">
        <v>46106</v>
      </c>
      <c r="K109" t="s">
        <v>50</v>
      </c>
      <c r="L109" s="2">
        <v>46112</v>
      </c>
      <c r="M109" s="3">
        <v>851.05</v>
      </c>
      <c r="N109" s="3">
        <v>0</v>
      </c>
      <c r="O109">
        <v>0</v>
      </c>
      <c r="P109" t="s">
        <v>151</v>
      </c>
    </row>
    <row r="110" spans="1:16">
      <c r="A110" s="2">
        <v>46061</v>
      </c>
      <c r="B110" t="s">
        <v>176</v>
      </c>
      <c r="C110" t="s">
        <v>64</v>
      </c>
      <c r="D110" t="s">
        <v>65</v>
      </c>
      <c r="E110" t="s">
        <v>57</v>
      </c>
      <c r="F110" s="3">
        <v>735.36</v>
      </c>
      <c r="G110" t="s">
        <v>36</v>
      </c>
      <c r="H110" t="s">
        <v>69</v>
      </c>
      <c r="I110">
        <v>30</v>
      </c>
      <c r="J110" s="2">
        <v>46091</v>
      </c>
      <c r="K110" t="s">
        <v>50</v>
      </c>
      <c r="L110" s="2">
        <v>46092</v>
      </c>
      <c r="M110" s="3">
        <v>735.36</v>
      </c>
      <c r="N110" s="3">
        <v>0</v>
      </c>
      <c r="O110">
        <v>0</v>
      </c>
      <c r="P110" t="s">
        <v>151</v>
      </c>
    </row>
    <row r="111" spans="1:16">
      <c r="A111" s="2">
        <v>46062</v>
      </c>
      <c r="B111" t="s">
        <v>177</v>
      </c>
      <c r="C111" t="s">
        <v>56</v>
      </c>
      <c r="D111" t="s">
        <v>34</v>
      </c>
      <c r="E111" t="s">
        <v>48</v>
      </c>
      <c r="F111" s="3">
        <v>5860.92</v>
      </c>
      <c r="G111" t="s">
        <v>36</v>
      </c>
      <c r="H111" t="s">
        <v>62</v>
      </c>
      <c r="I111">
        <v>15</v>
      </c>
      <c r="J111" s="2">
        <v>46077</v>
      </c>
      <c r="K111" t="s">
        <v>50</v>
      </c>
      <c r="L111" s="2">
        <v>46081</v>
      </c>
      <c r="M111" s="3">
        <v>5860.92</v>
      </c>
      <c r="N111" s="3">
        <v>0</v>
      </c>
      <c r="O111">
        <v>0</v>
      </c>
      <c r="P111" t="s">
        <v>151</v>
      </c>
    </row>
    <row r="112" spans="1:16">
      <c r="A112" s="2">
        <v>46063</v>
      </c>
      <c r="B112" t="s">
        <v>178</v>
      </c>
      <c r="C112" t="s">
        <v>74</v>
      </c>
      <c r="D112" t="s">
        <v>42</v>
      </c>
      <c r="E112" t="s">
        <v>53</v>
      </c>
      <c r="F112" s="3">
        <v>2847.35</v>
      </c>
      <c r="G112" t="s">
        <v>36</v>
      </c>
      <c r="H112" t="s">
        <v>45</v>
      </c>
      <c r="I112">
        <v>30</v>
      </c>
      <c r="J112" s="2">
        <v>46093</v>
      </c>
      <c r="K112" t="s">
        <v>38</v>
      </c>
      <c r="L112" s="2"/>
      <c r="M112" s="3">
        <v>0</v>
      </c>
      <c r="N112" s="3">
        <v>2847.35</v>
      </c>
      <c r="O112">
        <v>0</v>
      </c>
      <c r="P112" t="s">
        <v>151</v>
      </c>
    </row>
    <row r="113" spans="1:16">
      <c r="A113" s="2">
        <v>46063</v>
      </c>
      <c r="B113" t="s">
        <v>179</v>
      </c>
      <c r="C113" t="s">
        <v>68</v>
      </c>
      <c r="D113" t="s">
        <v>34</v>
      </c>
      <c r="E113" t="s">
        <v>57</v>
      </c>
      <c r="F113" s="3">
        <v>916.7</v>
      </c>
      <c r="G113" t="s">
        <v>71</v>
      </c>
      <c r="H113" t="s">
        <v>37</v>
      </c>
      <c r="I113">
        <v>30</v>
      </c>
      <c r="J113" s="2">
        <v>46093</v>
      </c>
      <c r="K113" t="s">
        <v>50</v>
      </c>
      <c r="L113" s="2">
        <v>46099</v>
      </c>
      <c r="M113" s="3">
        <v>916.7</v>
      </c>
      <c r="N113" s="3">
        <v>0</v>
      </c>
      <c r="O113">
        <v>0</v>
      </c>
      <c r="P113" t="s">
        <v>151</v>
      </c>
    </row>
    <row r="114" spans="1:16">
      <c r="A114" s="2">
        <v>46064</v>
      </c>
      <c r="B114" t="s">
        <v>180</v>
      </c>
      <c r="C114" t="s">
        <v>64</v>
      </c>
      <c r="D114" t="s">
        <v>34</v>
      </c>
      <c r="E114" t="s">
        <v>35</v>
      </c>
      <c r="F114" s="3">
        <v>972.84</v>
      </c>
      <c r="G114" t="s">
        <v>44</v>
      </c>
      <c r="H114" t="s">
        <v>58</v>
      </c>
      <c r="I114">
        <v>15</v>
      </c>
      <c r="J114" s="2">
        <v>46079</v>
      </c>
      <c r="K114" t="s">
        <v>50</v>
      </c>
      <c r="L114" s="2">
        <v>46090</v>
      </c>
      <c r="M114" s="3">
        <v>972.84</v>
      </c>
      <c r="N114" s="3">
        <v>0</v>
      </c>
      <c r="O114">
        <v>0</v>
      </c>
      <c r="P114" t="s">
        <v>151</v>
      </c>
    </row>
    <row r="115" spans="1:16">
      <c r="A115" s="2">
        <v>46064</v>
      </c>
      <c r="B115" t="s">
        <v>181</v>
      </c>
      <c r="C115" t="s">
        <v>82</v>
      </c>
      <c r="D115" t="s">
        <v>34</v>
      </c>
      <c r="E115" t="s">
        <v>43</v>
      </c>
      <c r="F115" s="3">
        <v>1239.03</v>
      </c>
      <c r="G115" t="s">
        <v>36</v>
      </c>
      <c r="H115" t="s">
        <v>69</v>
      </c>
      <c r="I115">
        <v>15</v>
      </c>
      <c r="J115" s="2">
        <v>46079</v>
      </c>
      <c r="K115" t="s">
        <v>50</v>
      </c>
      <c r="L115" s="2">
        <v>46085</v>
      </c>
      <c r="M115" s="3">
        <v>1239.03</v>
      </c>
      <c r="N115" s="3">
        <v>0</v>
      </c>
      <c r="O115">
        <v>0</v>
      </c>
      <c r="P115" t="s">
        <v>151</v>
      </c>
    </row>
    <row r="116" spans="1:16">
      <c r="A116" s="2">
        <v>46065</v>
      </c>
      <c r="B116" t="s">
        <v>182</v>
      </c>
      <c r="C116" t="s">
        <v>80</v>
      </c>
      <c r="D116" t="s">
        <v>52</v>
      </c>
      <c r="E116" t="s">
        <v>43</v>
      </c>
      <c r="F116" s="3">
        <v>3585</v>
      </c>
      <c r="G116" t="s">
        <v>49</v>
      </c>
      <c r="H116" t="s">
        <v>69</v>
      </c>
      <c r="I116">
        <v>30</v>
      </c>
      <c r="J116" s="2">
        <v>46095</v>
      </c>
      <c r="K116" t="s">
        <v>72</v>
      </c>
      <c r="L116" s="2"/>
      <c r="M116" s="3">
        <v>0</v>
      </c>
      <c r="N116" s="3">
        <v>3585</v>
      </c>
      <c r="O116">
        <v>163</v>
      </c>
      <c r="P116" t="s">
        <v>151</v>
      </c>
    </row>
    <row r="117" spans="1:16">
      <c r="A117" s="2">
        <v>46065</v>
      </c>
      <c r="B117" t="s">
        <v>183</v>
      </c>
      <c r="C117" t="s">
        <v>82</v>
      </c>
      <c r="D117" t="s">
        <v>34</v>
      </c>
      <c r="E117" t="s">
        <v>43</v>
      </c>
      <c r="F117" s="3">
        <v>1245.0999999999999</v>
      </c>
      <c r="G117" t="s">
        <v>44</v>
      </c>
      <c r="H117" t="s">
        <v>58</v>
      </c>
      <c r="I117">
        <v>30</v>
      </c>
      <c r="J117" s="2">
        <v>46095</v>
      </c>
      <c r="K117" t="s">
        <v>50</v>
      </c>
      <c r="L117" s="2">
        <v>46102</v>
      </c>
      <c r="M117" s="3">
        <v>1245.0999999999999</v>
      </c>
      <c r="N117" s="3">
        <v>0</v>
      </c>
      <c r="O117">
        <v>0</v>
      </c>
      <c r="P117" t="s">
        <v>151</v>
      </c>
    </row>
    <row r="118" spans="1:16">
      <c r="A118" s="2">
        <v>46066</v>
      </c>
      <c r="B118" t="s">
        <v>184</v>
      </c>
      <c r="C118" t="s">
        <v>64</v>
      </c>
      <c r="D118" t="s">
        <v>34</v>
      </c>
      <c r="E118" t="s">
        <v>53</v>
      </c>
      <c r="F118" s="3">
        <v>299.57</v>
      </c>
      <c r="G118" t="s">
        <v>36</v>
      </c>
      <c r="H118" t="s">
        <v>45</v>
      </c>
      <c r="I118">
        <v>7</v>
      </c>
      <c r="J118" s="2">
        <v>46073</v>
      </c>
      <c r="K118" t="s">
        <v>50</v>
      </c>
      <c r="L118" s="2">
        <v>46081</v>
      </c>
      <c r="M118" s="3">
        <v>299.57</v>
      </c>
      <c r="N118" s="3">
        <v>0</v>
      </c>
      <c r="O118">
        <v>0</v>
      </c>
      <c r="P118" t="s">
        <v>151</v>
      </c>
    </row>
    <row r="119" spans="1:16">
      <c r="A119" s="2">
        <v>46066</v>
      </c>
      <c r="B119" t="s">
        <v>185</v>
      </c>
      <c r="C119" t="s">
        <v>84</v>
      </c>
      <c r="D119" t="s">
        <v>52</v>
      </c>
      <c r="E119" t="s">
        <v>43</v>
      </c>
      <c r="F119" s="3">
        <v>2032.08</v>
      </c>
      <c r="G119" t="s">
        <v>49</v>
      </c>
      <c r="H119" t="s">
        <v>69</v>
      </c>
      <c r="I119">
        <v>45</v>
      </c>
      <c r="J119" s="2">
        <v>46111</v>
      </c>
      <c r="K119" t="s">
        <v>50</v>
      </c>
      <c r="L119" s="2">
        <v>46112</v>
      </c>
      <c r="M119" s="3">
        <v>2032.08</v>
      </c>
      <c r="N119" s="3">
        <v>0</v>
      </c>
      <c r="O119">
        <v>0</v>
      </c>
      <c r="P119" t="s">
        <v>151</v>
      </c>
    </row>
    <row r="120" spans="1:16">
      <c r="A120" s="2">
        <v>46066</v>
      </c>
      <c r="B120" t="s">
        <v>186</v>
      </c>
      <c r="C120" t="s">
        <v>68</v>
      </c>
      <c r="D120" t="s">
        <v>65</v>
      </c>
      <c r="E120" t="s">
        <v>57</v>
      </c>
      <c r="F120" s="3">
        <v>4975.7299999999996</v>
      </c>
      <c r="G120" t="s">
        <v>36</v>
      </c>
      <c r="H120" t="s">
        <v>58</v>
      </c>
      <c r="I120">
        <v>30</v>
      </c>
      <c r="J120" s="2">
        <v>46096</v>
      </c>
      <c r="K120" t="s">
        <v>50</v>
      </c>
      <c r="L120" s="2">
        <v>46096</v>
      </c>
      <c r="M120" s="3">
        <v>4975.7299999999996</v>
      </c>
      <c r="N120" s="3">
        <v>0</v>
      </c>
      <c r="O120">
        <v>0</v>
      </c>
      <c r="P120" t="s">
        <v>151</v>
      </c>
    </row>
    <row r="121" spans="1:16">
      <c r="A121" s="2">
        <v>46067</v>
      </c>
      <c r="B121" t="s">
        <v>187</v>
      </c>
      <c r="C121" t="s">
        <v>74</v>
      </c>
      <c r="D121" t="s">
        <v>52</v>
      </c>
      <c r="E121" t="s">
        <v>35</v>
      </c>
      <c r="F121" s="3">
        <v>2246.29</v>
      </c>
      <c r="G121" t="s">
        <v>71</v>
      </c>
      <c r="H121" t="s">
        <v>62</v>
      </c>
      <c r="I121">
        <v>45</v>
      </c>
      <c r="J121" s="2">
        <v>46112</v>
      </c>
      <c r="K121" t="s">
        <v>50</v>
      </c>
      <c r="L121" s="2">
        <v>46119</v>
      </c>
      <c r="M121" s="3">
        <v>2246.29</v>
      </c>
      <c r="N121" s="3">
        <v>0</v>
      </c>
      <c r="O121">
        <v>0</v>
      </c>
      <c r="P121" t="s">
        <v>151</v>
      </c>
    </row>
    <row r="122" spans="1:16">
      <c r="A122" s="2">
        <v>46067</v>
      </c>
      <c r="B122" t="s">
        <v>188</v>
      </c>
      <c r="C122" t="s">
        <v>84</v>
      </c>
      <c r="D122" t="s">
        <v>42</v>
      </c>
      <c r="E122" t="s">
        <v>43</v>
      </c>
      <c r="F122" s="3">
        <v>216.15</v>
      </c>
      <c r="G122" t="s">
        <v>36</v>
      </c>
      <c r="H122" t="s">
        <v>37</v>
      </c>
      <c r="I122">
        <v>30</v>
      </c>
      <c r="J122" s="2">
        <v>46097</v>
      </c>
      <c r="K122" t="s">
        <v>50</v>
      </c>
      <c r="L122" s="2">
        <v>46097</v>
      </c>
      <c r="M122" s="3">
        <v>216.15</v>
      </c>
      <c r="N122" s="3">
        <v>0</v>
      </c>
      <c r="O122">
        <v>0</v>
      </c>
      <c r="P122" t="s">
        <v>151</v>
      </c>
    </row>
    <row r="123" spans="1:16">
      <c r="A123" s="2">
        <v>46068</v>
      </c>
      <c r="B123" t="s">
        <v>189</v>
      </c>
      <c r="C123" t="s">
        <v>56</v>
      </c>
      <c r="D123" t="s">
        <v>42</v>
      </c>
      <c r="E123" t="s">
        <v>48</v>
      </c>
      <c r="F123" s="3">
        <v>272.04000000000002</v>
      </c>
      <c r="G123" t="s">
        <v>36</v>
      </c>
      <c r="H123" t="s">
        <v>62</v>
      </c>
      <c r="I123">
        <v>45</v>
      </c>
      <c r="J123" s="2">
        <v>46113</v>
      </c>
      <c r="K123" t="s">
        <v>50</v>
      </c>
      <c r="L123" s="2">
        <v>46118</v>
      </c>
      <c r="M123" s="3">
        <v>272.04000000000002</v>
      </c>
      <c r="N123" s="3">
        <v>0</v>
      </c>
      <c r="O123">
        <v>0</v>
      </c>
      <c r="P123" t="s">
        <v>151</v>
      </c>
    </row>
    <row r="124" spans="1:16">
      <c r="A124" s="2">
        <v>46068</v>
      </c>
      <c r="B124" t="s">
        <v>190</v>
      </c>
      <c r="C124" t="s">
        <v>41</v>
      </c>
      <c r="D124" t="s">
        <v>65</v>
      </c>
      <c r="E124" t="s">
        <v>53</v>
      </c>
      <c r="F124" s="3">
        <v>638.1</v>
      </c>
      <c r="G124" t="s">
        <v>36</v>
      </c>
      <c r="H124" t="s">
        <v>66</v>
      </c>
      <c r="I124">
        <v>30</v>
      </c>
      <c r="J124" s="2">
        <v>46098</v>
      </c>
      <c r="K124" t="s">
        <v>38</v>
      </c>
      <c r="L124" s="2"/>
      <c r="M124" s="3">
        <v>0</v>
      </c>
      <c r="N124" s="3">
        <v>638.1</v>
      </c>
      <c r="O124">
        <v>0</v>
      </c>
      <c r="P124" t="s">
        <v>151</v>
      </c>
    </row>
    <row r="125" spans="1:16">
      <c r="A125" s="2">
        <v>46068</v>
      </c>
      <c r="B125" t="s">
        <v>191</v>
      </c>
      <c r="C125" t="s">
        <v>80</v>
      </c>
      <c r="D125" t="s">
        <v>42</v>
      </c>
      <c r="E125" t="s">
        <v>57</v>
      </c>
      <c r="F125" s="3">
        <v>1409.41</v>
      </c>
      <c r="G125" t="s">
        <v>36</v>
      </c>
      <c r="H125" t="s">
        <v>62</v>
      </c>
      <c r="I125">
        <v>15</v>
      </c>
      <c r="J125" s="2">
        <v>46083</v>
      </c>
      <c r="K125" t="s">
        <v>72</v>
      </c>
      <c r="L125" s="2"/>
      <c r="M125" s="3">
        <v>0</v>
      </c>
      <c r="N125" s="3">
        <v>1409.41</v>
      </c>
      <c r="O125">
        <v>175</v>
      </c>
      <c r="P125" t="s">
        <v>151</v>
      </c>
    </row>
    <row r="126" spans="1:16">
      <c r="A126" s="2">
        <v>46069</v>
      </c>
      <c r="B126" t="s">
        <v>192</v>
      </c>
      <c r="C126" t="s">
        <v>56</v>
      </c>
      <c r="D126" t="s">
        <v>42</v>
      </c>
      <c r="E126" t="s">
        <v>43</v>
      </c>
      <c r="F126" s="3">
        <v>1278.6500000000001</v>
      </c>
      <c r="G126" t="s">
        <v>49</v>
      </c>
      <c r="H126" t="s">
        <v>66</v>
      </c>
      <c r="I126">
        <v>15</v>
      </c>
      <c r="J126" s="2">
        <v>46084</v>
      </c>
      <c r="K126" t="s">
        <v>50</v>
      </c>
      <c r="L126" s="2">
        <v>46085</v>
      </c>
      <c r="M126" s="3">
        <v>1278.6500000000001</v>
      </c>
      <c r="N126" s="3">
        <v>0</v>
      </c>
      <c r="O126">
        <v>0</v>
      </c>
      <c r="P126" t="s">
        <v>151</v>
      </c>
    </row>
    <row r="127" spans="1:16">
      <c r="A127" s="2">
        <v>46069</v>
      </c>
      <c r="B127" t="s">
        <v>193</v>
      </c>
      <c r="C127" t="s">
        <v>80</v>
      </c>
      <c r="D127" t="s">
        <v>42</v>
      </c>
      <c r="E127" t="s">
        <v>48</v>
      </c>
      <c r="F127" s="3">
        <v>1542.55</v>
      </c>
      <c r="G127" t="s">
        <v>36</v>
      </c>
      <c r="H127" t="s">
        <v>69</v>
      </c>
      <c r="I127">
        <v>15</v>
      </c>
      <c r="J127" s="2">
        <v>46084</v>
      </c>
      <c r="K127" t="s">
        <v>38</v>
      </c>
      <c r="L127" s="2"/>
      <c r="M127" s="3">
        <v>0</v>
      </c>
      <c r="N127" s="3">
        <v>1542.55</v>
      </c>
      <c r="O127">
        <v>0</v>
      </c>
      <c r="P127" t="s">
        <v>151</v>
      </c>
    </row>
    <row r="128" spans="1:16">
      <c r="A128" s="2">
        <v>46070</v>
      </c>
      <c r="B128" t="s">
        <v>194</v>
      </c>
      <c r="C128" t="s">
        <v>64</v>
      </c>
      <c r="D128" t="s">
        <v>34</v>
      </c>
      <c r="E128" t="s">
        <v>57</v>
      </c>
      <c r="F128" s="3">
        <v>1200.25</v>
      </c>
      <c r="G128" t="s">
        <v>71</v>
      </c>
      <c r="H128" t="s">
        <v>45</v>
      </c>
      <c r="I128">
        <v>30</v>
      </c>
      <c r="J128" s="2">
        <v>46100</v>
      </c>
      <c r="K128" t="s">
        <v>50</v>
      </c>
      <c r="L128" s="2">
        <v>46102</v>
      </c>
      <c r="M128" s="3">
        <v>1200.25</v>
      </c>
      <c r="N128" s="3">
        <v>0</v>
      </c>
      <c r="O128">
        <v>0</v>
      </c>
      <c r="P128" t="s">
        <v>151</v>
      </c>
    </row>
    <row r="129" spans="1:16">
      <c r="A129" s="2">
        <v>46070</v>
      </c>
      <c r="B129" t="s">
        <v>195</v>
      </c>
      <c r="C129" t="s">
        <v>33</v>
      </c>
      <c r="D129" t="s">
        <v>42</v>
      </c>
      <c r="E129" t="s">
        <v>48</v>
      </c>
      <c r="F129" s="3">
        <v>2213.91</v>
      </c>
      <c r="G129" t="s">
        <v>44</v>
      </c>
      <c r="H129" t="s">
        <v>69</v>
      </c>
      <c r="I129">
        <v>45</v>
      </c>
      <c r="J129" s="2">
        <v>46115</v>
      </c>
      <c r="K129" t="s">
        <v>38</v>
      </c>
      <c r="L129" s="2"/>
      <c r="M129" s="3">
        <v>0</v>
      </c>
      <c r="N129" s="3">
        <v>2213.91</v>
      </c>
      <c r="O129">
        <v>0</v>
      </c>
      <c r="P129" t="s">
        <v>151</v>
      </c>
    </row>
    <row r="130" spans="1:16">
      <c r="A130" s="2">
        <v>46070</v>
      </c>
      <c r="B130" t="s">
        <v>196</v>
      </c>
      <c r="C130" t="s">
        <v>33</v>
      </c>
      <c r="D130" t="s">
        <v>34</v>
      </c>
      <c r="E130" t="s">
        <v>48</v>
      </c>
      <c r="F130" s="3">
        <v>1442.38</v>
      </c>
      <c r="G130" t="s">
        <v>36</v>
      </c>
      <c r="H130" t="s">
        <v>62</v>
      </c>
      <c r="I130">
        <v>45</v>
      </c>
      <c r="J130" s="2">
        <v>46115</v>
      </c>
      <c r="K130" t="s">
        <v>38</v>
      </c>
      <c r="L130" s="2"/>
      <c r="M130" s="3">
        <v>0</v>
      </c>
      <c r="N130" s="3">
        <v>1442.38</v>
      </c>
      <c r="O130">
        <v>0</v>
      </c>
      <c r="P130" t="s">
        <v>151</v>
      </c>
    </row>
    <row r="131" spans="1:16">
      <c r="A131" s="2">
        <v>46070</v>
      </c>
      <c r="B131" t="s">
        <v>197</v>
      </c>
      <c r="C131" t="s">
        <v>82</v>
      </c>
      <c r="D131" t="s">
        <v>42</v>
      </c>
      <c r="E131" t="s">
        <v>48</v>
      </c>
      <c r="F131" s="3">
        <v>603.74</v>
      </c>
      <c r="G131" t="s">
        <v>49</v>
      </c>
      <c r="H131" t="s">
        <v>45</v>
      </c>
      <c r="I131">
        <v>15</v>
      </c>
      <c r="J131" s="2">
        <v>46085</v>
      </c>
      <c r="K131" t="s">
        <v>50</v>
      </c>
      <c r="L131" s="2">
        <v>46093</v>
      </c>
      <c r="M131" s="3">
        <v>603.74</v>
      </c>
      <c r="N131" s="3">
        <v>0</v>
      </c>
      <c r="O131">
        <v>0</v>
      </c>
      <c r="P131" t="s">
        <v>151</v>
      </c>
    </row>
    <row r="132" spans="1:16">
      <c r="A132" s="2">
        <v>46070</v>
      </c>
      <c r="B132" t="s">
        <v>198</v>
      </c>
      <c r="C132" t="s">
        <v>33</v>
      </c>
      <c r="D132" t="s">
        <v>52</v>
      </c>
      <c r="E132" t="s">
        <v>57</v>
      </c>
      <c r="F132" s="3">
        <v>1235.93</v>
      </c>
      <c r="G132" t="s">
        <v>44</v>
      </c>
      <c r="H132" t="s">
        <v>58</v>
      </c>
      <c r="I132">
        <v>45</v>
      </c>
      <c r="J132" s="2">
        <v>46115</v>
      </c>
      <c r="K132" t="s">
        <v>50</v>
      </c>
      <c r="L132" s="2">
        <v>46118</v>
      </c>
      <c r="M132" s="3">
        <v>1235.93</v>
      </c>
      <c r="N132" s="3">
        <v>0</v>
      </c>
      <c r="O132">
        <v>0</v>
      </c>
      <c r="P132" t="s">
        <v>151</v>
      </c>
    </row>
    <row r="133" spans="1:16">
      <c r="A133" s="2">
        <v>46070</v>
      </c>
      <c r="B133" t="s">
        <v>199</v>
      </c>
      <c r="C133" t="s">
        <v>56</v>
      </c>
      <c r="D133" t="s">
        <v>65</v>
      </c>
      <c r="E133" t="s">
        <v>57</v>
      </c>
      <c r="F133" s="3">
        <v>1926.49</v>
      </c>
      <c r="G133" t="s">
        <v>36</v>
      </c>
      <c r="H133" t="s">
        <v>66</v>
      </c>
      <c r="I133">
        <v>7</v>
      </c>
      <c r="J133" s="2">
        <v>46077</v>
      </c>
      <c r="K133" t="s">
        <v>72</v>
      </c>
      <c r="L133" s="2"/>
      <c r="M133" s="3">
        <v>0</v>
      </c>
      <c r="N133" s="3">
        <v>1926.49</v>
      </c>
      <c r="O133">
        <v>181</v>
      </c>
      <c r="P133" t="s">
        <v>151</v>
      </c>
    </row>
    <row r="134" spans="1:16">
      <c r="A134" s="2">
        <v>46070</v>
      </c>
      <c r="B134" t="s">
        <v>200</v>
      </c>
      <c r="C134" t="s">
        <v>84</v>
      </c>
      <c r="D134" t="s">
        <v>52</v>
      </c>
      <c r="E134" t="s">
        <v>53</v>
      </c>
      <c r="F134" s="3">
        <v>977.28</v>
      </c>
      <c r="G134" t="s">
        <v>44</v>
      </c>
      <c r="H134" t="s">
        <v>62</v>
      </c>
      <c r="I134">
        <v>30</v>
      </c>
      <c r="J134" s="2">
        <v>46100</v>
      </c>
      <c r="K134" t="s">
        <v>72</v>
      </c>
      <c r="L134" s="2"/>
      <c r="M134" s="3">
        <v>0</v>
      </c>
      <c r="N134" s="3">
        <v>977.28</v>
      </c>
      <c r="O134">
        <v>158</v>
      </c>
      <c r="P134" t="s">
        <v>151</v>
      </c>
    </row>
    <row r="135" spans="1:16">
      <c r="A135" s="2">
        <v>46071</v>
      </c>
      <c r="B135" t="s">
        <v>201</v>
      </c>
      <c r="C135" t="s">
        <v>90</v>
      </c>
      <c r="D135" t="s">
        <v>65</v>
      </c>
      <c r="E135" t="s">
        <v>53</v>
      </c>
      <c r="F135" s="3">
        <v>3172.98</v>
      </c>
      <c r="G135" t="s">
        <v>49</v>
      </c>
      <c r="H135" t="s">
        <v>69</v>
      </c>
      <c r="I135">
        <v>30</v>
      </c>
      <c r="J135" s="2">
        <v>46101</v>
      </c>
      <c r="K135" t="s">
        <v>50</v>
      </c>
      <c r="L135" s="2">
        <v>46109</v>
      </c>
      <c r="M135" s="3">
        <v>3172.98</v>
      </c>
      <c r="N135" s="3">
        <v>0</v>
      </c>
      <c r="O135">
        <v>0</v>
      </c>
      <c r="P135" t="s">
        <v>151</v>
      </c>
    </row>
    <row r="136" spans="1:16">
      <c r="A136" s="2">
        <v>46071</v>
      </c>
      <c r="B136" t="s">
        <v>202</v>
      </c>
      <c r="C136" t="s">
        <v>68</v>
      </c>
      <c r="D136" t="s">
        <v>52</v>
      </c>
      <c r="E136" t="s">
        <v>53</v>
      </c>
      <c r="F136" s="3">
        <v>2335.12</v>
      </c>
      <c r="G136" t="s">
        <v>71</v>
      </c>
      <c r="H136" t="s">
        <v>45</v>
      </c>
      <c r="I136">
        <v>30</v>
      </c>
      <c r="J136" s="2">
        <v>46101</v>
      </c>
      <c r="K136" t="s">
        <v>50</v>
      </c>
      <c r="L136" s="2">
        <v>46102</v>
      </c>
      <c r="M136" s="3">
        <v>2335.12</v>
      </c>
      <c r="N136" s="3">
        <v>0</v>
      </c>
      <c r="O136">
        <v>0</v>
      </c>
      <c r="P136" t="s">
        <v>151</v>
      </c>
    </row>
    <row r="137" spans="1:16">
      <c r="A137" s="2">
        <v>46071</v>
      </c>
      <c r="B137" t="s">
        <v>203</v>
      </c>
      <c r="C137" t="s">
        <v>90</v>
      </c>
      <c r="D137" t="s">
        <v>34</v>
      </c>
      <c r="E137" t="s">
        <v>43</v>
      </c>
      <c r="F137" s="3">
        <v>3179.94</v>
      </c>
      <c r="G137" t="s">
        <v>49</v>
      </c>
      <c r="H137" t="s">
        <v>58</v>
      </c>
      <c r="I137">
        <v>30</v>
      </c>
      <c r="J137" s="2">
        <v>46101</v>
      </c>
      <c r="K137" t="s">
        <v>38</v>
      </c>
      <c r="L137" s="2"/>
      <c r="M137" s="3">
        <v>0</v>
      </c>
      <c r="N137" s="3">
        <v>3179.94</v>
      </c>
      <c r="O137">
        <v>0</v>
      </c>
      <c r="P137" t="s">
        <v>151</v>
      </c>
    </row>
    <row r="138" spans="1:16">
      <c r="A138" s="2">
        <v>46072</v>
      </c>
      <c r="B138" t="s">
        <v>204</v>
      </c>
      <c r="C138" t="s">
        <v>56</v>
      </c>
      <c r="D138" t="s">
        <v>34</v>
      </c>
      <c r="E138" t="s">
        <v>48</v>
      </c>
      <c r="F138" s="3">
        <v>1439.47</v>
      </c>
      <c r="G138" t="s">
        <v>49</v>
      </c>
      <c r="H138" t="s">
        <v>45</v>
      </c>
      <c r="I138">
        <v>30</v>
      </c>
      <c r="J138" s="2">
        <v>46102</v>
      </c>
      <c r="K138" t="s">
        <v>50</v>
      </c>
      <c r="L138" s="2">
        <v>46109</v>
      </c>
      <c r="M138" s="3">
        <v>1439.47</v>
      </c>
      <c r="N138" s="3">
        <v>0</v>
      </c>
      <c r="O138">
        <v>0</v>
      </c>
      <c r="P138" t="s">
        <v>151</v>
      </c>
    </row>
    <row r="139" spans="1:16">
      <c r="A139" s="2">
        <v>46072</v>
      </c>
      <c r="B139" t="s">
        <v>205</v>
      </c>
      <c r="C139" t="s">
        <v>56</v>
      </c>
      <c r="D139" t="s">
        <v>52</v>
      </c>
      <c r="E139" t="s">
        <v>35</v>
      </c>
      <c r="F139" s="3">
        <v>776.79</v>
      </c>
      <c r="G139" t="s">
        <v>44</v>
      </c>
      <c r="H139" t="s">
        <v>69</v>
      </c>
      <c r="I139">
        <v>30</v>
      </c>
      <c r="J139" s="2">
        <v>46102</v>
      </c>
      <c r="K139" t="s">
        <v>50</v>
      </c>
      <c r="L139" s="2">
        <v>46106</v>
      </c>
      <c r="M139" s="3">
        <v>776.79</v>
      </c>
      <c r="N139" s="3">
        <v>0</v>
      </c>
      <c r="O139">
        <v>0</v>
      </c>
      <c r="P139" t="s">
        <v>151</v>
      </c>
    </row>
    <row r="140" spans="1:16">
      <c r="A140" s="2">
        <v>46073</v>
      </c>
      <c r="B140" t="s">
        <v>206</v>
      </c>
      <c r="C140" t="s">
        <v>74</v>
      </c>
      <c r="D140" t="s">
        <v>52</v>
      </c>
      <c r="E140" t="s">
        <v>53</v>
      </c>
      <c r="F140" s="3">
        <v>484.11</v>
      </c>
      <c r="G140" t="s">
        <v>49</v>
      </c>
      <c r="H140" t="s">
        <v>37</v>
      </c>
      <c r="I140">
        <v>30</v>
      </c>
      <c r="J140" s="2">
        <v>46103</v>
      </c>
      <c r="K140" t="s">
        <v>50</v>
      </c>
      <c r="L140" s="2">
        <v>46109</v>
      </c>
      <c r="M140" s="3">
        <v>484.11</v>
      </c>
      <c r="N140" s="3">
        <v>0</v>
      </c>
      <c r="O140">
        <v>0</v>
      </c>
      <c r="P140" t="s">
        <v>151</v>
      </c>
    </row>
    <row r="141" spans="1:16">
      <c r="A141" s="2">
        <v>46073</v>
      </c>
      <c r="B141" t="s">
        <v>207</v>
      </c>
      <c r="C141" t="s">
        <v>82</v>
      </c>
      <c r="D141" t="s">
        <v>42</v>
      </c>
      <c r="E141" t="s">
        <v>57</v>
      </c>
      <c r="F141" s="3">
        <v>567.16</v>
      </c>
      <c r="G141" t="s">
        <v>71</v>
      </c>
      <c r="H141" t="s">
        <v>58</v>
      </c>
      <c r="I141">
        <v>30</v>
      </c>
      <c r="J141" s="2">
        <v>46103</v>
      </c>
      <c r="K141" t="s">
        <v>50</v>
      </c>
      <c r="L141" s="2">
        <v>46114</v>
      </c>
      <c r="M141" s="3">
        <v>567.16</v>
      </c>
      <c r="N141" s="3">
        <v>0</v>
      </c>
      <c r="O141">
        <v>0</v>
      </c>
      <c r="P141" t="s">
        <v>151</v>
      </c>
    </row>
    <row r="142" spans="1:16">
      <c r="A142" s="2">
        <v>46073</v>
      </c>
      <c r="B142" t="s">
        <v>208</v>
      </c>
      <c r="C142" t="s">
        <v>47</v>
      </c>
      <c r="D142" t="s">
        <v>52</v>
      </c>
      <c r="E142" t="s">
        <v>53</v>
      </c>
      <c r="F142" s="3">
        <v>1774.95</v>
      </c>
      <c r="G142" t="s">
        <v>49</v>
      </c>
      <c r="H142" t="s">
        <v>69</v>
      </c>
      <c r="I142">
        <v>15</v>
      </c>
      <c r="J142" s="2">
        <v>46088</v>
      </c>
      <c r="K142" t="s">
        <v>38</v>
      </c>
      <c r="L142" s="2"/>
      <c r="M142" s="3">
        <v>0</v>
      </c>
      <c r="N142" s="3">
        <v>1774.95</v>
      </c>
      <c r="O142">
        <v>0</v>
      </c>
      <c r="P142" t="s">
        <v>151</v>
      </c>
    </row>
    <row r="143" spans="1:16">
      <c r="A143" s="2">
        <v>46073</v>
      </c>
      <c r="B143" t="s">
        <v>209</v>
      </c>
      <c r="C143" t="s">
        <v>47</v>
      </c>
      <c r="D143" t="s">
        <v>34</v>
      </c>
      <c r="E143" t="s">
        <v>53</v>
      </c>
      <c r="F143" s="3">
        <v>7378.36</v>
      </c>
      <c r="G143" t="s">
        <v>71</v>
      </c>
      <c r="H143" t="s">
        <v>45</v>
      </c>
      <c r="I143">
        <v>15</v>
      </c>
      <c r="J143" s="2">
        <v>46088</v>
      </c>
      <c r="K143" t="s">
        <v>50</v>
      </c>
      <c r="L143" s="2">
        <v>46096</v>
      </c>
      <c r="M143" s="3">
        <v>7378.36</v>
      </c>
      <c r="N143" s="3">
        <v>0</v>
      </c>
      <c r="O143">
        <v>0</v>
      </c>
      <c r="P143" t="s">
        <v>151</v>
      </c>
    </row>
    <row r="144" spans="1:16">
      <c r="A144" s="2">
        <v>46073</v>
      </c>
      <c r="B144" t="s">
        <v>210</v>
      </c>
      <c r="C144" t="s">
        <v>80</v>
      </c>
      <c r="D144" t="s">
        <v>65</v>
      </c>
      <c r="E144" t="s">
        <v>57</v>
      </c>
      <c r="F144" s="3">
        <v>2314.5500000000002</v>
      </c>
      <c r="G144" t="s">
        <v>71</v>
      </c>
      <c r="H144" t="s">
        <v>69</v>
      </c>
      <c r="I144">
        <v>30</v>
      </c>
      <c r="J144" s="2">
        <v>46103</v>
      </c>
      <c r="K144" t="s">
        <v>38</v>
      </c>
      <c r="L144" s="2"/>
      <c r="M144" s="3">
        <v>0</v>
      </c>
      <c r="N144" s="3">
        <v>2314.5500000000002</v>
      </c>
      <c r="O144">
        <v>0</v>
      </c>
      <c r="P144" t="s">
        <v>151</v>
      </c>
    </row>
    <row r="145" spans="1:16">
      <c r="A145" s="2">
        <v>46074</v>
      </c>
      <c r="B145" t="s">
        <v>211</v>
      </c>
      <c r="C145" t="s">
        <v>90</v>
      </c>
      <c r="D145" t="s">
        <v>42</v>
      </c>
      <c r="E145" t="s">
        <v>48</v>
      </c>
      <c r="F145" s="3">
        <v>1916.7</v>
      </c>
      <c r="G145" t="s">
        <v>71</v>
      </c>
      <c r="H145" t="s">
        <v>66</v>
      </c>
      <c r="I145">
        <v>15</v>
      </c>
      <c r="J145" s="2">
        <v>46089</v>
      </c>
      <c r="K145" t="s">
        <v>50</v>
      </c>
      <c r="L145" s="2">
        <v>46099</v>
      </c>
      <c r="M145" s="3">
        <v>1916.7</v>
      </c>
      <c r="N145" s="3">
        <v>0</v>
      </c>
      <c r="O145">
        <v>0</v>
      </c>
      <c r="P145" t="s">
        <v>151</v>
      </c>
    </row>
    <row r="146" spans="1:16">
      <c r="A146" s="2">
        <v>46074</v>
      </c>
      <c r="B146" t="s">
        <v>212</v>
      </c>
      <c r="C146" t="s">
        <v>61</v>
      </c>
      <c r="D146" t="s">
        <v>34</v>
      </c>
      <c r="E146" t="s">
        <v>35</v>
      </c>
      <c r="F146" s="3">
        <v>1325.23</v>
      </c>
      <c r="G146" t="s">
        <v>49</v>
      </c>
      <c r="H146" t="s">
        <v>69</v>
      </c>
      <c r="I146">
        <v>30</v>
      </c>
      <c r="J146" s="2">
        <v>46104</v>
      </c>
      <c r="K146" t="s">
        <v>50</v>
      </c>
      <c r="L146" s="2">
        <v>46109</v>
      </c>
      <c r="M146" s="3">
        <v>1325.23</v>
      </c>
      <c r="N146" s="3">
        <v>0</v>
      </c>
      <c r="O146">
        <v>0</v>
      </c>
      <c r="P146" t="s">
        <v>151</v>
      </c>
    </row>
    <row r="147" spans="1:16">
      <c r="A147" s="2">
        <v>46074</v>
      </c>
      <c r="B147" t="s">
        <v>213</v>
      </c>
      <c r="C147" t="s">
        <v>61</v>
      </c>
      <c r="D147" t="s">
        <v>34</v>
      </c>
      <c r="E147" t="s">
        <v>53</v>
      </c>
      <c r="F147" s="3">
        <v>673.5</v>
      </c>
      <c r="G147" t="s">
        <v>36</v>
      </c>
      <c r="H147" t="s">
        <v>69</v>
      </c>
      <c r="I147">
        <v>30</v>
      </c>
      <c r="J147" s="2">
        <v>46104</v>
      </c>
      <c r="K147" t="s">
        <v>50</v>
      </c>
      <c r="L147" s="2">
        <v>46113</v>
      </c>
      <c r="M147" s="3">
        <v>673.5</v>
      </c>
      <c r="N147" s="3">
        <v>0</v>
      </c>
      <c r="O147">
        <v>0</v>
      </c>
      <c r="P147" t="s">
        <v>151</v>
      </c>
    </row>
    <row r="148" spans="1:16">
      <c r="A148" s="2">
        <v>46074</v>
      </c>
      <c r="B148" t="s">
        <v>214</v>
      </c>
      <c r="C148" t="s">
        <v>82</v>
      </c>
      <c r="D148" t="s">
        <v>34</v>
      </c>
      <c r="E148" t="s">
        <v>48</v>
      </c>
      <c r="F148" s="3">
        <v>11109.11</v>
      </c>
      <c r="G148" t="s">
        <v>44</v>
      </c>
      <c r="H148" t="s">
        <v>37</v>
      </c>
      <c r="I148">
        <v>45</v>
      </c>
      <c r="J148" s="2">
        <v>46119</v>
      </c>
      <c r="K148" t="s">
        <v>50</v>
      </c>
      <c r="L148" s="2">
        <v>46120</v>
      </c>
      <c r="M148" s="3">
        <v>11109.11</v>
      </c>
      <c r="N148" s="3">
        <v>0</v>
      </c>
      <c r="O148">
        <v>0</v>
      </c>
      <c r="P148" t="s">
        <v>151</v>
      </c>
    </row>
    <row r="149" spans="1:16">
      <c r="A149" s="2">
        <v>46075</v>
      </c>
      <c r="B149" t="s">
        <v>215</v>
      </c>
      <c r="C149" t="s">
        <v>74</v>
      </c>
      <c r="D149" t="s">
        <v>34</v>
      </c>
      <c r="E149" t="s">
        <v>48</v>
      </c>
      <c r="F149" s="3">
        <v>1651.8</v>
      </c>
      <c r="G149" t="s">
        <v>49</v>
      </c>
      <c r="H149" t="s">
        <v>69</v>
      </c>
      <c r="I149">
        <v>30</v>
      </c>
      <c r="J149" s="2">
        <v>46105</v>
      </c>
      <c r="K149" t="s">
        <v>50</v>
      </c>
      <c r="L149" s="2">
        <v>46108</v>
      </c>
      <c r="M149" s="3">
        <v>1651.8</v>
      </c>
      <c r="N149" s="3">
        <v>0</v>
      </c>
      <c r="O149">
        <v>0</v>
      </c>
      <c r="P149" t="s">
        <v>151</v>
      </c>
    </row>
    <row r="150" spans="1:16">
      <c r="A150" s="2">
        <v>46075</v>
      </c>
      <c r="B150" t="s">
        <v>216</v>
      </c>
      <c r="C150" t="s">
        <v>56</v>
      </c>
      <c r="D150" t="s">
        <v>34</v>
      </c>
      <c r="E150" t="s">
        <v>35</v>
      </c>
      <c r="F150" s="3">
        <v>995.18</v>
      </c>
      <c r="G150" t="s">
        <v>36</v>
      </c>
      <c r="H150" t="s">
        <v>66</v>
      </c>
      <c r="I150">
        <v>30</v>
      </c>
      <c r="J150" s="2">
        <v>46105</v>
      </c>
      <c r="K150" t="s">
        <v>50</v>
      </c>
      <c r="L150" s="2">
        <v>46108</v>
      </c>
      <c r="M150" s="3">
        <v>995.18</v>
      </c>
      <c r="N150" s="3">
        <v>0</v>
      </c>
      <c r="O150">
        <v>0</v>
      </c>
      <c r="P150" t="s">
        <v>151</v>
      </c>
    </row>
    <row r="151" spans="1:16">
      <c r="A151" s="2">
        <v>46075</v>
      </c>
      <c r="B151" t="s">
        <v>217</v>
      </c>
      <c r="C151" t="s">
        <v>64</v>
      </c>
      <c r="D151" t="s">
        <v>65</v>
      </c>
      <c r="E151" t="s">
        <v>57</v>
      </c>
      <c r="F151" s="3">
        <v>547.38</v>
      </c>
      <c r="G151" t="s">
        <v>44</v>
      </c>
      <c r="H151" t="s">
        <v>66</v>
      </c>
      <c r="I151">
        <v>30</v>
      </c>
      <c r="J151" s="2">
        <v>46105</v>
      </c>
      <c r="K151" t="s">
        <v>50</v>
      </c>
      <c r="L151" s="2">
        <v>46115</v>
      </c>
      <c r="M151" s="3">
        <v>547.38</v>
      </c>
      <c r="N151" s="3">
        <v>0</v>
      </c>
      <c r="O151">
        <v>0</v>
      </c>
      <c r="P151" t="s">
        <v>151</v>
      </c>
    </row>
    <row r="152" spans="1:16">
      <c r="A152" s="2">
        <v>46075</v>
      </c>
      <c r="B152" t="s">
        <v>218</v>
      </c>
      <c r="C152" t="s">
        <v>68</v>
      </c>
      <c r="D152" t="s">
        <v>34</v>
      </c>
      <c r="E152" t="s">
        <v>35</v>
      </c>
      <c r="F152" s="3">
        <v>594.27</v>
      </c>
      <c r="G152" t="s">
        <v>36</v>
      </c>
      <c r="H152" t="s">
        <v>58</v>
      </c>
      <c r="I152">
        <v>15</v>
      </c>
      <c r="J152" s="2">
        <v>46090</v>
      </c>
      <c r="K152" t="s">
        <v>50</v>
      </c>
      <c r="L152" s="2">
        <v>46100</v>
      </c>
      <c r="M152" s="3">
        <v>594.27</v>
      </c>
      <c r="N152" s="3">
        <v>0</v>
      </c>
      <c r="O152">
        <v>0</v>
      </c>
      <c r="P152" t="s">
        <v>151</v>
      </c>
    </row>
    <row r="153" spans="1:16">
      <c r="A153" s="2">
        <v>46075</v>
      </c>
      <c r="B153" t="s">
        <v>219</v>
      </c>
      <c r="C153" t="s">
        <v>80</v>
      </c>
      <c r="D153" t="s">
        <v>42</v>
      </c>
      <c r="E153" t="s">
        <v>35</v>
      </c>
      <c r="F153" s="3">
        <v>3951.64</v>
      </c>
      <c r="G153" t="s">
        <v>44</v>
      </c>
      <c r="H153" t="s">
        <v>66</v>
      </c>
      <c r="I153">
        <v>15</v>
      </c>
      <c r="J153" s="2">
        <v>46090</v>
      </c>
      <c r="K153" t="s">
        <v>50</v>
      </c>
      <c r="L153" s="2">
        <v>46097</v>
      </c>
      <c r="M153" s="3">
        <v>3951.64</v>
      </c>
      <c r="N153" s="3">
        <v>0</v>
      </c>
      <c r="O153">
        <v>0</v>
      </c>
      <c r="P153" t="s">
        <v>151</v>
      </c>
    </row>
    <row r="154" spans="1:16">
      <c r="A154" s="2">
        <v>46076</v>
      </c>
      <c r="B154" t="s">
        <v>220</v>
      </c>
      <c r="C154" t="s">
        <v>68</v>
      </c>
      <c r="D154" t="s">
        <v>34</v>
      </c>
      <c r="E154" t="s">
        <v>35</v>
      </c>
      <c r="F154" s="3">
        <v>1812.09</v>
      </c>
      <c r="G154" t="s">
        <v>71</v>
      </c>
      <c r="H154" t="s">
        <v>58</v>
      </c>
      <c r="I154">
        <v>15</v>
      </c>
      <c r="J154" s="2">
        <v>46091</v>
      </c>
      <c r="K154" t="s">
        <v>38</v>
      </c>
      <c r="L154" s="2"/>
      <c r="M154" s="3">
        <v>0</v>
      </c>
      <c r="N154" s="3">
        <v>1812.09</v>
      </c>
      <c r="O154">
        <v>0</v>
      </c>
      <c r="P154" t="s">
        <v>151</v>
      </c>
    </row>
    <row r="155" spans="1:16">
      <c r="A155" s="2">
        <v>46076</v>
      </c>
      <c r="B155" t="s">
        <v>221</v>
      </c>
      <c r="C155" t="s">
        <v>56</v>
      </c>
      <c r="D155" t="s">
        <v>65</v>
      </c>
      <c r="E155" t="s">
        <v>35</v>
      </c>
      <c r="F155" s="3">
        <v>4068.2</v>
      </c>
      <c r="G155" t="s">
        <v>36</v>
      </c>
      <c r="H155" t="s">
        <v>58</v>
      </c>
      <c r="I155">
        <v>30</v>
      </c>
      <c r="J155" s="2">
        <v>46106</v>
      </c>
      <c r="K155" t="s">
        <v>50</v>
      </c>
      <c r="L155" s="2">
        <v>46115</v>
      </c>
      <c r="M155" s="3">
        <v>4068.2</v>
      </c>
      <c r="N155" s="3">
        <v>0</v>
      </c>
      <c r="O155">
        <v>0</v>
      </c>
      <c r="P155" t="s">
        <v>151</v>
      </c>
    </row>
    <row r="156" spans="1:16">
      <c r="A156" s="2">
        <v>46076</v>
      </c>
      <c r="B156" t="s">
        <v>222</v>
      </c>
      <c r="C156" t="s">
        <v>80</v>
      </c>
      <c r="D156" t="s">
        <v>52</v>
      </c>
      <c r="E156" t="s">
        <v>35</v>
      </c>
      <c r="F156" s="3">
        <v>263.44</v>
      </c>
      <c r="G156" t="s">
        <v>44</v>
      </c>
      <c r="H156" t="s">
        <v>37</v>
      </c>
      <c r="I156">
        <v>30</v>
      </c>
      <c r="J156" s="2">
        <v>46106</v>
      </c>
      <c r="K156" t="s">
        <v>50</v>
      </c>
      <c r="L156" s="2">
        <v>46112</v>
      </c>
      <c r="M156" s="3">
        <v>263.44</v>
      </c>
      <c r="N156" s="3">
        <v>0</v>
      </c>
      <c r="O156">
        <v>0</v>
      </c>
      <c r="P156" t="s">
        <v>151</v>
      </c>
    </row>
    <row r="157" spans="1:16">
      <c r="A157" s="2">
        <v>46076</v>
      </c>
      <c r="B157" t="s">
        <v>223</v>
      </c>
      <c r="C157" t="s">
        <v>33</v>
      </c>
      <c r="D157" t="s">
        <v>34</v>
      </c>
      <c r="E157" t="s">
        <v>53</v>
      </c>
      <c r="F157" s="3">
        <v>2720.79</v>
      </c>
      <c r="G157" t="s">
        <v>71</v>
      </c>
      <c r="H157" t="s">
        <v>58</v>
      </c>
      <c r="I157">
        <v>30</v>
      </c>
      <c r="J157" s="2">
        <v>46106</v>
      </c>
      <c r="K157" t="s">
        <v>50</v>
      </c>
      <c r="L157" s="2">
        <v>46113</v>
      </c>
      <c r="M157" s="3">
        <v>2720.79</v>
      </c>
      <c r="N157" s="3">
        <v>0</v>
      </c>
      <c r="O157">
        <v>0</v>
      </c>
      <c r="P157" t="s">
        <v>151</v>
      </c>
    </row>
    <row r="158" spans="1:16">
      <c r="A158" s="2">
        <v>46076</v>
      </c>
      <c r="B158" t="s">
        <v>224</v>
      </c>
      <c r="C158" t="s">
        <v>80</v>
      </c>
      <c r="D158" t="s">
        <v>52</v>
      </c>
      <c r="E158" t="s">
        <v>53</v>
      </c>
      <c r="F158" s="3">
        <v>787.35</v>
      </c>
      <c r="G158" t="s">
        <v>71</v>
      </c>
      <c r="H158" t="s">
        <v>37</v>
      </c>
      <c r="I158">
        <v>30</v>
      </c>
      <c r="J158" s="2">
        <v>46106</v>
      </c>
      <c r="K158" t="s">
        <v>50</v>
      </c>
      <c r="L158" s="2">
        <v>46107</v>
      </c>
      <c r="M158" s="3">
        <v>787.35</v>
      </c>
      <c r="N158" s="3">
        <v>0</v>
      </c>
      <c r="O158">
        <v>0</v>
      </c>
      <c r="P158" t="s">
        <v>151</v>
      </c>
    </row>
    <row r="159" spans="1:16">
      <c r="A159" s="2">
        <v>46076</v>
      </c>
      <c r="B159" t="s">
        <v>225</v>
      </c>
      <c r="C159" t="s">
        <v>84</v>
      </c>
      <c r="D159" t="s">
        <v>65</v>
      </c>
      <c r="E159" t="s">
        <v>48</v>
      </c>
      <c r="F159" s="3">
        <v>565.01</v>
      </c>
      <c r="G159" t="s">
        <v>71</v>
      </c>
      <c r="H159" t="s">
        <v>62</v>
      </c>
      <c r="I159">
        <v>30</v>
      </c>
      <c r="J159" s="2">
        <v>46106</v>
      </c>
      <c r="K159" t="s">
        <v>50</v>
      </c>
      <c r="L159" s="2">
        <v>46117</v>
      </c>
      <c r="M159" s="3">
        <v>565.01</v>
      </c>
      <c r="N159" s="3">
        <v>0</v>
      </c>
      <c r="O159">
        <v>0</v>
      </c>
      <c r="P159" t="s">
        <v>151</v>
      </c>
    </row>
    <row r="160" spans="1:16">
      <c r="A160" s="2">
        <v>46076</v>
      </c>
      <c r="B160" t="s">
        <v>226</v>
      </c>
      <c r="C160" t="s">
        <v>47</v>
      </c>
      <c r="D160" t="s">
        <v>34</v>
      </c>
      <c r="E160" t="s">
        <v>43</v>
      </c>
      <c r="F160" s="3">
        <v>853.19</v>
      </c>
      <c r="G160" t="s">
        <v>44</v>
      </c>
      <c r="H160" t="s">
        <v>58</v>
      </c>
      <c r="I160">
        <v>30</v>
      </c>
      <c r="J160" s="2">
        <v>46106</v>
      </c>
      <c r="K160" t="s">
        <v>72</v>
      </c>
      <c r="L160" s="2"/>
      <c r="M160" s="3">
        <v>0</v>
      </c>
      <c r="N160" s="3">
        <v>853.19</v>
      </c>
      <c r="O160">
        <v>152</v>
      </c>
      <c r="P160" t="s">
        <v>151</v>
      </c>
    </row>
    <row r="161" spans="1:16">
      <c r="A161" s="2">
        <v>46077</v>
      </c>
      <c r="B161" t="s">
        <v>227</v>
      </c>
      <c r="C161" t="s">
        <v>56</v>
      </c>
      <c r="D161" t="s">
        <v>34</v>
      </c>
      <c r="E161" t="s">
        <v>43</v>
      </c>
      <c r="F161" s="3">
        <v>383.32</v>
      </c>
      <c r="G161" t="s">
        <v>71</v>
      </c>
      <c r="H161" t="s">
        <v>69</v>
      </c>
      <c r="I161">
        <v>7</v>
      </c>
      <c r="J161" s="2">
        <v>46084</v>
      </c>
      <c r="K161" t="s">
        <v>50</v>
      </c>
      <c r="L161" s="2">
        <v>46094</v>
      </c>
      <c r="M161" s="3">
        <v>383.32</v>
      </c>
      <c r="N161" s="3">
        <v>0</v>
      </c>
      <c r="O161">
        <v>0</v>
      </c>
      <c r="P161" t="s">
        <v>151</v>
      </c>
    </row>
    <row r="162" spans="1:16">
      <c r="A162" s="2">
        <v>46077</v>
      </c>
      <c r="B162" t="s">
        <v>228</v>
      </c>
      <c r="C162" t="s">
        <v>82</v>
      </c>
      <c r="D162" t="s">
        <v>34</v>
      </c>
      <c r="E162" t="s">
        <v>53</v>
      </c>
      <c r="F162" s="3">
        <v>705.14</v>
      </c>
      <c r="G162" t="s">
        <v>71</v>
      </c>
      <c r="H162" t="s">
        <v>66</v>
      </c>
      <c r="I162">
        <v>45</v>
      </c>
      <c r="J162" s="2">
        <v>46122</v>
      </c>
      <c r="K162" t="s">
        <v>38</v>
      </c>
      <c r="L162" s="2"/>
      <c r="M162" s="3">
        <v>0</v>
      </c>
      <c r="N162" s="3">
        <v>705.14</v>
      </c>
      <c r="O162">
        <v>0</v>
      </c>
      <c r="P162" t="s">
        <v>151</v>
      </c>
    </row>
    <row r="163" spans="1:16">
      <c r="A163" s="2">
        <v>46079</v>
      </c>
      <c r="B163" t="s">
        <v>229</v>
      </c>
      <c r="C163" t="s">
        <v>84</v>
      </c>
      <c r="D163" t="s">
        <v>65</v>
      </c>
      <c r="E163" t="s">
        <v>57</v>
      </c>
      <c r="F163" s="3">
        <v>983.77</v>
      </c>
      <c r="G163" t="s">
        <v>36</v>
      </c>
      <c r="H163" t="s">
        <v>37</v>
      </c>
      <c r="I163">
        <v>15</v>
      </c>
      <c r="J163" s="2">
        <v>46094</v>
      </c>
      <c r="K163" t="s">
        <v>50</v>
      </c>
      <c r="L163" s="2">
        <v>46100</v>
      </c>
      <c r="M163" s="3">
        <v>983.77</v>
      </c>
      <c r="N163" s="3">
        <v>0</v>
      </c>
      <c r="O163">
        <v>0</v>
      </c>
      <c r="P163" t="s">
        <v>151</v>
      </c>
    </row>
    <row r="164" spans="1:16">
      <c r="A164" s="2">
        <v>46080</v>
      </c>
      <c r="B164" t="s">
        <v>230</v>
      </c>
      <c r="C164" t="s">
        <v>84</v>
      </c>
      <c r="D164" t="s">
        <v>42</v>
      </c>
      <c r="E164" t="s">
        <v>48</v>
      </c>
      <c r="F164" s="3">
        <v>1933.58</v>
      </c>
      <c r="G164" t="s">
        <v>49</v>
      </c>
      <c r="H164" t="s">
        <v>45</v>
      </c>
      <c r="I164">
        <v>30</v>
      </c>
      <c r="J164" s="2">
        <v>46110</v>
      </c>
      <c r="K164" t="s">
        <v>72</v>
      </c>
      <c r="L164" s="2"/>
      <c r="M164" s="3">
        <v>0</v>
      </c>
      <c r="N164" s="3">
        <v>1933.58</v>
      </c>
      <c r="O164">
        <v>148</v>
      </c>
      <c r="P164" t="s">
        <v>151</v>
      </c>
    </row>
    <row r="165" spans="1:16">
      <c r="A165" s="2">
        <v>46080</v>
      </c>
      <c r="B165" t="s">
        <v>231</v>
      </c>
      <c r="C165" t="s">
        <v>74</v>
      </c>
      <c r="D165" t="s">
        <v>65</v>
      </c>
      <c r="E165" t="s">
        <v>53</v>
      </c>
      <c r="F165" s="3">
        <v>954.1</v>
      </c>
      <c r="G165" t="s">
        <v>44</v>
      </c>
      <c r="H165" t="s">
        <v>45</v>
      </c>
      <c r="I165">
        <v>7</v>
      </c>
      <c r="J165" s="2">
        <v>46087</v>
      </c>
      <c r="K165" t="s">
        <v>50</v>
      </c>
      <c r="L165" s="2">
        <v>46087</v>
      </c>
      <c r="M165" s="3">
        <v>954.1</v>
      </c>
      <c r="N165" s="3">
        <v>0</v>
      </c>
      <c r="O165">
        <v>0</v>
      </c>
      <c r="P165" t="s">
        <v>151</v>
      </c>
    </row>
    <row r="166" spans="1:16">
      <c r="A166" s="2">
        <v>46080</v>
      </c>
      <c r="B166" t="s">
        <v>232</v>
      </c>
      <c r="C166" t="s">
        <v>41</v>
      </c>
      <c r="D166" t="s">
        <v>34</v>
      </c>
      <c r="E166" t="s">
        <v>53</v>
      </c>
      <c r="F166" s="3">
        <v>1530.37</v>
      </c>
      <c r="G166" t="s">
        <v>49</v>
      </c>
      <c r="H166" t="s">
        <v>66</v>
      </c>
      <c r="I166">
        <v>7</v>
      </c>
      <c r="J166" s="2">
        <v>46087</v>
      </c>
      <c r="K166" t="s">
        <v>38</v>
      </c>
      <c r="L166" s="2"/>
      <c r="M166" s="3">
        <v>0</v>
      </c>
      <c r="N166" s="3">
        <v>1530.37</v>
      </c>
      <c r="O166">
        <v>0</v>
      </c>
      <c r="P166" t="s">
        <v>151</v>
      </c>
    </row>
    <row r="167" spans="1:16">
      <c r="A167" s="2">
        <v>46080</v>
      </c>
      <c r="B167" t="s">
        <v>233</v>
      </c>
      <c r="C167" t="s">
        <v>82</v>
      </c>
      <c r="D167" t="s">
        <v>52</v>
      </c>
      <c r="E167" t="s">
        <v>35</v>
      </c>
      <c r="F167" s="3">
        <v>732.28</v>
      </c>
      <c r="G167" t="s">
        <v>44</v>
      </c>
      <c r="H167" t="s">
        <v>69</v>
      </c>
      <c r="I167">
        <v>45</v>
      </c>
      <c r="J167" s="2">
        <v>46125</v>
      </c>
      <c r="K167" t="s">
        <v>38</v>
      </c>
      <c r="L167" s="2"/>
      <c r="M167" s="3">
        <v>0</v>
      </c>
      <c r="N167" s="3">
        <v>732.28</v>
      </c>
      <c r="O167">
        <v>0</v>
      </c>
      <c r="P167" t="s">
        <v>151</v>
      </c>
    </row>
    <row r="168" spans="1:16">
      <c r="A168" s="2">
        <v>46080</v>
      </c>
      <c r="B168" t="s">
        <v>234</v>
      </c>
      <c r="C168" t="s">
        <v>74</v>
      </c>
      <c r="D168" t="s">
        <v>65</v>
      </c>
      <c r="E168" t="s">
        <v>53</v>
      </c>
      <c r="F168" s="3">
        <v>1716.76</v>
      </c>
      <c r="G168" t="s">
        <v>36</v>
      </c>
      <c r="H168" t="s">
        <v>69</v>
      </c>
      <c r="I168">
        <v>45</v>
      </c>
      <c r="J168" s="2">
        <v>46125</v>
      </c>
      <c r="K168" t="s">
        <v>38</v>
      </c>
      <c r="L168" s="2"/>
      <c r="M168" s="3">
        <v>0</v>
      </c>
      <c r="N168" s="3">
        <v>1716.76</v>
      </c>
      <c r="O168">
        <v>0</v>
      </c>
      <c r="P168" t="s">
        <v>151</v>
      </c>
    </row>
    <row r="169" spans="1:16">
      <c r="A169" s="2">
        <v>46080</v>
      </c>
      <c r="B169" t="s">
        <v>235</v>
      </c>
      <c r="C169" t="s">
        <v>84</v>
      </c>
      <c r="D169" t="s">
        <v>42</v>
      </c>
      <c r="E169" t="s">
        <v>48</v>
      </c>
      <c r="F169" s="3">
        <v>2701.88</v>
      </c>
      <c r="G169" t="s">
        <v>71</v>
      </c>
      <c r="H169" t="s">
        <v>58</v>
      </c>
      <c r="I169">
        <v>7</v>
      </c>
      <c r="J169" s="2">
        <v>46087</v>
      </c>
      <c r="K169" t="s">
        <v>50</v>
      </c>
      <c r="L169" s="2">
        <v>46095</v>
      </c>
      <c r="M169" s="3">
        <v>2701.88</v>
      </c>
      <c r="N169" s="3">
        <v>0</v>
      </c>
      <c r="O169">
        <v>0</v>
      </c>
      <c r="P169" t="s">
        <v>151</v>
      </c>
    </row>
    <row r="170" spans="1:16">
      <c r="A170" s="2">
        <v>46081</v>
      </c>
      <c r="B170" t="s">
        <v>236</v>
      </c>
      <c r="C170" t="s">
        <v>68</v>
      </c>
      <c r="D170" t="s">
        <v>34</v>
      </c>
      <c r="E170" t="s">
        <v>53</v>
      </c>
      <c r="F170" s="3">
        <v>1572.73</v>
      </c>
      <c r="G170" t="s">
        <v>44</v>
      </c>
      <c r="H170" t="s">
        <v>45</v>
      </c>
      <c r="I170">
        <v>15</v>
      </c>
      <c r="J170" s="2">
        <v>46096</v>
      </c>
      <c r="K170" t="s">
        <v>72</v>
      </c>
      <c r="L170" s="2"/>
      <c r="M170" s="3">
        <v>0</v>
      </c>
      <c r="N170" s="3">
        <v>1572.73</v>
      </c>
      <c r="O170">
        <v>162</v>
      </c>
      <c r="P170" t="s">
        <v>151</v>
      </c>
    </row>
    <row r="171" spans="1:16">
      <c r="A171" s="2">
        <v>46081</v>
      </c>
      <c r="B171" t="s">
        <v>237</v>
      </c>
      <c r="C171" t="s">
        <v>33</v>
      </c>
      <c r="D171" t="s">
        <v>42</v>
      </c>
      <c r="E171" t="s">
        <v>53</v>
      </c>
      <c r="F171" s="3">
        <v>1259.96</v>
      </c>
      <c r="G171" t="s">
        <v>44</v>
      </c>
      <c r="H171" t="s">
        <v>37</v>
      </c>
      <c r="I171">
        <v>15</v>
      </c>
      <c r="J171" s="2">
        <v>46096</v>
      </c>
      <c r="K171" t="s">
        <v>72</v>
      </c>
      <c r="L171" s="2"/>
      <c r="M171" s="3">
        <v>0</v>
      </c>
      <c r="N171" s="3">
        <v>1259.96</v>
      </c>
      <c r="O171">
        <v>162</v>
      </c>
      <c r="P171" t="s">
        <v>151</v>
      </c>
    </row>
    <row r="172" spans="1:16">
      <c r="A172" s="2">
        <v>46082</v>
      </c>
      <c r="B172" t="s">
        <v>238</v>
      </c>
      <c r="C172" t="s">
        <v>56</v>
      </c>
      <c r="D172" t="s">
        <v>34</v>
      </c>
      <c r="E172" t="s">
        <v>57</v>
      </c>
      <c r="F172" s="3">
        <v>2964.01</v>
      </c>
      <c r="G172" t="s">
        <v>36</v>
      </c>
      <c r="H172" t="s">
        <v>45</v>
      </c>
      <c r="I172">
        <v>15</v>
      </c>
      <c r="J172" s="2">
        <v>46097</v>
      </c>
      <c r="K172" t="s">
        <v>50</v>
      </c>
      <c r="L172" s="2">
        <v>46102</v>
      </c>
      <c r="M172" s="3">
        <v>2964.01</v>
      </c>
      <c r="N172" s="3">
        <v>0</v>
      </c>
      <c r="O172">
        <v>0</v>
      </c>
      <c r="P172" t="s">
        <v>239</v>
      </c>
    </row>
    <row r="173" spans="1:16">
      <c r="A173" s="2">
        <v>46082</v>
      </c>
      <c r="B173" t="s">
        <v>240</v>
      </c>
      <c r="C173" t="s">
        <v>84</v>
      </c>
      <c r="D173" t="s">
        <v>34</v>
      </c>
      <c r="E173" t="s">
        <v>43</v>
      </c>
      <c r="F173" s="3">
        <v>3696.86</v>
      </c>
      <c r="G173" t="s">
        <v>49</v>
      </c>
      <c r="H173" t="s">
        <v>37</v>
      </c>
      <c r="I173">
        <v>15</v>
      </c>
      <c r="J173" s="2">
        <v>46097</v>
      </c>
      <c r="K173" t="s">
        <v>50</v>
      </c>
      <c r="L173" s="2">
        <v>46101</v>
      </c>
      <c r="M173" s="3">
        <v>3696.86</v>
      </c>
      <c r="N173" s="3">
        <v>0</v>
      </c>
      <c r="O173">
        <v>0</v>
      </c>
      <c r="P173" t="s">
        <v>239</v>
      </c>
    </row>
    <row r="174" spans="1:16">
      <c r="A174" s="2">
        <v>46082</v>
      </c>
      <c r="B174" t="s">
        <v>241</v>
      </c>
      <c r="C174" t="s">
        <v>84</v>
      </c>
      <c r="D174" t="s">
        <v>34</v>
      </c>
      <c r="E174" t="s">
        <v>48</v>
      </c>
      <c r="F174" s="3">
        <v>1023.61</v>
      </c>
      <c r="G174" t="s">
        <v>44</v>
      </c>
      <c r="H174" t="s">
        <v>37</v>
      </c>
      <c r="I174">
        <v>30</v>
      </c>
      <c r="J174" s="2">
        <v>46112</v>
      </c>
      <c r="K174" t="s">
        <v>50</v>
      </c>
      <c r="L174" s="2">
        <v>46123</v>
      </c>
      <c r="M174" s="3">
        <v>1023.61</v>
      </c>
      <c r="N174" s="3">
        <v>0</v>
      </c>
      <c r="O174">
        <v>0</v>
      </c>
      <c r="P174" t="s">
        <v>239</v>
      </c>
    </row>
    <row r="175" spans="1:16">
      <c r="A175" s="2">
        <v>46082</v>
      </c>
      <c r="B175" t="s">
        <v>242</v>
      </c>
      <c r="C175" t="s">
        <v>90</v>
      </c>
      <c r="D175" t="s">
        <v>65</v>
      </c>
      <c r="E175" t="s">
        <v>35</v>
      </c>
      <c r="F175" s="3">
        <v>2051.13</v>
      </c>
      <c r="G175" t="s">
        <v>49</v>
      </c>
      <c r="H175" t="s">
        <v>58</v>
      </c>
      <c r="I175">
        <v>15</v>
      </c>
      <c r="J175" s="2">
        <v>46097</v>
      </c>
      <c r="K175" t="s">
        <v>50</v>
      </c>
      <c r="L175" s="2">
        <v>46107</v>
      </c>
      <c r="M175" s="3">
        <v>2051.13</v>
      </c>
      <c r="N175" s="3">
        <v>0</v>
      </c>
      <c r="O175">
        <v>0</v>
      </c>
      <c r="P175" t="s">
        <v>239</v>
      </c>
    </row>
    <row r="176" spans="1:16">
      <c r="A176" s="2">
        <v>46083</v>
      </c>
      <c r="B176" t="s">
        <v>243</v>
      </c>
      <c r="C176" t="s">
        <v>74</v>
      </c>
      <c r="D176" t="s">
        <v>34</v>
      </c>
      <c r="E176" t="s">
        <v>53</v>
      </c>
      <c r="F176" s="3">
        <v>2435.33</v>
      </c>
      <c r="G176" t="s">
        <v>44</v>
      </c>
      <c r="H176" t="s">
        <v>69</v>
      </c>
      <c r="I176">
        <v>7</v>
      </c>
      <c r="J176" s="2">
        <v>46090</v>
      </c>
      <c r="K176" t="s">
        <v>38</v>
      </c>
      <c r="L176" s="2"/>
      <c r="M176" s="3">
        <v>0</v>
      </c>
      <c r="N176" s="3">
        <v>2435.33</v>
      </c>
      <c r="O176">
        <v>0</v>
      </c>
      <c r="P176" t="s">
        <v>239</v>
      </c>
    </row>
    <row r="177" spans="1:16">
      <c r="A177" s="2">
        <v>46084</v>
      </c>
      <c r="B177" t="s">
        <v>244</v>
      </c>
      <c r="C177" t="s">
        <v>56</v>
      </c>
      <c r="D177" t="s">
        <v>34</v>
      </c>
      <c r="E177" t="s">
        <v>48</v>
      </c>
      <c r="F177" s="3">
        <v>2504.91</v>
      </c>
      <c r="G177" t="s">
        <v>44</v>
      </c>
      <c r="H177" t="s">
        <v>58</v>
      </c>
      <c r="I177">
        <v>7</v>
      </c>
      <c r="J177" s="2">
        <v>46091</v>
      </c>
      <c r="K177" t="s">
        <v>72</v>
      </c>
      <c r="L177" s="2"/>
      <c r="M177" s="3">
        <v>0</v>
      </c>
      <c r="N177" s="3">
        <v>2504.91</v>
      </c>
      <c r="O177">
        <v>167</v>
      </c>
      <c r="P177" t="s">
        <v>239</v>
      </c>
    </row>
    <row r="178" spans="1:16">
      <c r="A178" s="2">
        <v>46084</v>
      </c>
      <c r="B178" t="s">
        <v>245</v>
      </c>
      <c r="C178" t="s">
        <v>84</v>
      </c>
      <c r="D178" t="s">
        <v>65</v>
      </c>
      <c r="E178" t="s">
        <v>48</v>
      </c>
      <c r="F178" s="3">
        <v>1670.83</v>
      </c>
      <c r="G178" t="s">
        <v>71</v>
      </c>
      <c r="H178" t="s">
        <v>58</v>
      </c>
      <c r="I178">
        <v>15</v>
      </c>
      <c r="J178" s="2">
        <v>46099</v>
      </c>
      <c r="K178" t="s">
        <v>50</v>
      </c>
      <c r="L178" s="2">
        <v>46102</v>
      </c>
      <c r="M178" s="3">
        <v>1670.83</v>
      </c>
      <c r="N178" s="3">
        <v>0</v>
      </c>
      <c r="O178">
        <v>0</v>
      </c>
      <c r="P178" t="s">
        <v>239</v>
      </c>
    </row>
    <row r="179" spans="1:16">
      <c r="A179" s="2">
        <v>46084</v>
      </c>
      <c r="B179" t="s">
        <v>246</v>
      </c>
      <c r="C179" t="s">
        <v>56</v>
      </c>
      <c r="D179" t="s">
        <v>34</v>
      </c>
      <c r="E179" t="s">
        <v>57</v>
      </c>
      <c r="F179" s="3">
        <v>602.62</v>
      </c>
      <c r="G179" t="s">
        <v>44</v>
      </c>
      <c r="H179" t="s">
        <v>37</v>
      </c>
      <c r="I179">
        <v>7</v>
      </c>
      <c r="J179" s="2">
        <v>46091</v>
      </c>
      <c r="K179" t="s">
        <v>50</v>
      </c>
      <c r="L179" s="2">
        <v>46100</v>
      </c>
      <c r="M179" s="3">
        <v>602.62</v>
      </c>
      <c r="N179" s="3">
        <v>0</v>
      </c>
      <c r="O179">
        <v>0</v>
      </c>
      <c r="P179" t="s">
        <v>239</v>
      </c>
    </row>
    <row r="180" spans="1:16">
      <c r="A180" s="2">
        <v>46084</v>
      </c>
      <c r="B180" t="s">
        <v>247</v>
      </c>
      <c r="C180" t="s">
        <v>74</v>
      </c>
      <c r="D180" t="s">
        <v>52</v>
      </c>
      <c r="E180" t="s">
        <v>43</v>
      </c>
      <c r="F180" s="3">
        <v>2233.96</v>
      </c>
      <c r="G180" t="s">
        <v>44</v>
      </c>
      <c r="H180" t="s">
        <v>69</v>
      </c>
      <c r="I180">
        <v>7</v>
      </c>
      <c r="J180" s="2">
        <v>46091</v>
      </c>
      <c r="K180" t="s">
        <v>72</v>
      </c>
      <c r="L180" s="2"/>
      <c r="M180" s="3">
        <v>0</v>
      </c>
      <c r="N180" s="3">
        <v>2233.96</v>
      </c>
      <c r="O180">
        <v>167</v>
      </c>
      <c r="P180" t="s">
        <v>239</v>
      </c>
    </row>
    <row r="181" spans="1:16">
      <c r="A181" s="2">
        <v>46084</v>
      </c>
      <c r="B181" t="s">
        <v>248</v>
      </c>
      <c r="C181" t="s">
        <v>80</v>
      </c>
      <c r="D181" t="s">
        <v>42</v>
      </c>
      <c r="E181" t="s">
        <v>35</v>
      </c>
      <c r="F181" s="3">
        <v>2266.11</v>
      </c>
      <c r="G181" t="s">
        <v>49</v>
      </c>
      <c r="H181" t="s">
        <v>37</v>
      </c>
      <c r="I181">
        <v>7</v>
      </c>
      <c r="J181" s="2">
        <v>46091</v>
      </c>
      <c r="K181" t="s">
        <v>38</v>
      </c>
      <c r="L181" s="2"/>
      <c r="M181" s="3">
        <v>0</v>
      </c>
      <c r="N181" s="3">
        <v>2266.11</v>
      </c>
      <c r="O181">
        <v>0</v>
      </c>
      <c r="P181" t="s">
        <v>239</v>
      </c>
    </row>
    <row r="182" spans="1:16">
      <c r="A182" s="2">
        <v>46085</v>
      </c>
      <c r="B182" t="s">
        <v>249</v>
      </c>
      <c r="C182" t="s">
        <v>80</v>
      </c>
      <c r="D182" t="s">
        <v>42</v>
      </c>
      <c r="E182" t="s">
        <v>57</v>
      </c>
      <c r="F182" s="3">
        <v>1069.6099999999999</v>
      </c>
      <c r="G182" t="s">
        <v>36</v>
      </c>
      <c r="H182" t="s">
        <v>58</v>
      </c>
      <c r="I182">
        <v>45</v>
      </c>
      <c r="J182" s="2">
        <v>46130</v>
      </c>
      <c r="K182" t="s">
        <v>50</v>
      </c>
      <c r="L182" s="2">
        <v>46130</v>
      </c>
      <c r="M182" s="3">
        <v>1069.6099999999999</v>
      </c>
      <c r="N182" s="3">
        <v>0</v>
      </c>
      <c r="O182">
        <v>0</v>
      </c>
      <c r="P182" t="s">
        <v>239</v>
      </c>
    </row>
    <row r="183" spans="1:16">
      <c r="A183" s="2">
        <v>46085</v>
      </c>
      <c r="B183" t="s">
        <v>250</v>
      </c>
      <c r="C183" t="s">
        <v>82</v>
      </c>
      <c r="D183" t="s">
        <v>34</v>
      </c>
      <c r="E183" t="s">
        <v>53</v>
      </c>
      <c r="F183" s="3">
        <v>1496.73</v>
      </c>
      <c r="G183" t="s">
        <v>49</v>
      </c>
      <c r="H183" t="s">
        <v>66</v>
      </c>
      <c r="I183">
        <v>30</v>
      </c>
      <c r="J183" s="2">
        <v>46115</v>
      </c>
      <c r="K183" t="s">
        <v>50</v>
      </c>
      <c r="L183" s="2">
        <v>46121</v>
      </c>
      <c r="M183" s="3">
        <v>1496.73</v>
      </c>
      <c r="N183" s="3">
        <v>0</v>
      </c>
      <c r="O183">
        <v>0</v>
      </c>
      <c r="P183" t="s">
        <v>239</v>
      </c>
    </row>
    <row r="184" spans="1:16">
      <c r="A184" s="2">
        <v>46085</v>
      </c>
      <c r="B184" t="s">
        <v>251</v>
      </c>
      <c r="C184" t="s">
        <v>84</v>
      </c>
      <c r="D184" t="s">
        <v>65</v>
      </c>
      <c r="E184" t="s">
        <v>35</v>
      </c>
      <c r="F184" s="3">
        <v>5502.35</v>
      </c>
      <c r="G184" t="s">
        <v>36</v>
      </c>
      <c r="H184" t="s">
        <v>69</v>
      </c>
      <c r="I184">
        <v>30</v>
      </c>
      <c r="J184" s="2">
        <v>46115</v>
      </c>
      <c r="K184" t="s">
        <v>50</v>
      </c>
      <c r="L184" s="2">
        <v>46122</v>
      </c>
      <c r="M184" s="3">
        <v>5502.35</v>
      </c>
      <c r="N184" s="3">
        <v>0</v>
      </c>
      <c r="O184">
        <v>0</v>
      </c>
      <c r="P184" t="s">
        <v>239</v>
      </c>
    </row>
    <row r="185" spans="1:16">
      <c r="A185" s="2">
        <v>46085</v>
      </c>
      <c r="B185" t="s">
        <v>252</v>
      </c>
      <c r="C185" t="s">
        <v>80</v>
      </c>
      <c r="D185" t="s">
        <v>42</v>
      </c>
      <c r="E185" t="s">
        <v>53</v>
      </c>
      <c r="F185" s="3">
        <v>5280.26</v>
      </c>
      <c r="G185" t="s">
        <v>49</v>
      </c>
      <c r="H185" t="s">
        <v>45</v>
      </c>
      <c r="I185">
        <v>15</v>
      </c>
      <c r="J185" s="2">
        <v>46100</v>
      </c>
      <c r="K185" t="s">
        <v>38</v>
      </c>
      <c r="L185" s="2"/>
      <c r="M185" s="3">
        <v>0</v>
      </c>
      <c r="N185" s="3">
        <v>5280.26</v>
      </c>
      <c r="O185">
        <v>0</v>
      </c>
      <c r="P185" t="s">
        <v>239</v>
      </c>
    </row>
    <row r="186" spans="1:16">
      <c r="A186" s="2">
        <v>46086</v>
      </c>
      <c r="B186" t="s">
        <v>253</v>
      </c>
      <c r="C186" t="s">
        <v>41</v>
      </c>
      <c r="D186" t="s">
        <v>42</v>
      </c>
      <c r="E186" t="s">
        <v>35</v>
      </c>
      <c r="F186" s="3">
        <v>3520.6</v>
      </c>
      <c r="G186" t="s">
        <v>71</v>
      </c>
      <c r="H186" t="s">
        <v>62</v>
      </c>
      <c r="I186">
        <v>45</v>
      </c>
      <c r="J186" s="2">
        <v>46131</v>
      </c>
      <c r="K186" t="s">
        <v>50</v>
      </c>
      <c r="L186" s="2">
        <v>46132</v>
      </c>
      <c r="M186" s="3">
        <v>3520.6</v>
      </c>
      <c r="N186" s="3">
        <v>0</v>
      </c>
      <c r="O186">
        <v>0</v>
      </c>
      <c r="P186" t="s">
        <v>239</v>
      </c>
    </row>
    <row r="187" spans="1:16">
      <c r="A187" s="2">
        <v>46087</v>
      </c>
      <c r="B187" t="s">
        <v>254</v>
      </c>
      <c r="C187" t="s">
        <v>61</v>
      </c>
      <c r="D187" t="s">
        <v>65</v>
      </c>
      <c r="E187" t="s">
        <v>43</v>
      </c>
      <c r="F187" s="3">
        <v>764.84</v>
      </c>
      <c r="G187" t="s">
        <v>44</v>
      </c>
      <c r="H187" t="s">
        <v>69</v>
      </c>
      <c r="I187">
        <v>15</v>
      </c>
      <c r="J187" s="2">
        <v>46102</v>
      </c>
      <c r="K187" t="s">
        <v>50</v>
      </c>
      <c r="L187" s="2">
        <v>46108</v>
      </c>
      <c r="M187" s="3">
        <v>764.84</v>
      </c>
      <c r="N187" s="3">
        <v>0</v>
      </c>
      <c r="O187">
        <v>0</v>
      </c>
      <c r="P187" t="s">
        <v>239</v>
      </c>
    </row>
    <row r="188" spans="1:16">
      <c r="A188" s="2">
        <v>46087</v>
      </c>
      <c r="B188" t="s">
        <v>255</v>
      </c>
      <c r="C188" t="s">
        <v>56</v>
      </c>
      <c r="D188" t="s">
        <v>42</v>
      </c>
      <c r="E188" t="s">
        <v>53</v>
      </c>
      <c r="F188" s="3">
        <v>2684.49</v>
      </c>
      <c r="G188" t="s">
        <v>49</v>
      </c>
      <c r="H188" t="s">
        <v>62</v>
      </c>
      <c r="I188">
        <v>30</v>
      </c>
      <c r="J188" s="2">
        <v>46117</v>
      </c>
      <c r="K188" t="s">
        <v>72</v>
      </c>
      <c r="L188" s="2"/>
      <c r="M188" s="3">
        <v>0</v>
      </c>
      <c r="N188" s="3">
        <v>2684.49</v>
      </c>
      <c r="O188">
        <v>141</v>
      </c>
      <c r="P188" t="s">
        <v>239</v>
      </c>
    </row>
    <row r="189" spans="1:16">
      <c r="A189" s="2">
        <v>46087</v>
      </c>
      <c r="B189" t="s">
        <v>256</v>
      </c>
      <c r="C189" t="s">
        <v>41</v>
      </c>
      <c r="D189" t="s">
        <v>34</v>
      </c>
      <c r="E189" t="s">
        <v>43</v>
      </c>
      <c r="F189" s="3">
        <v>2102.7600000000002</v>
      </c>
      <c r="G189" t="s">
        <v>71</v>
      </c>
      <c r="H189" t="s">
        <v>66</v>
      </c>
      <c r="I189">
        <v>15</v>
      </c>
      <c r="J189" s="2">
        <v>46102</v>
      </c>
      <c r="K189" t="s">
        <v>50</v>
      </c>
      <c r="L189" s="2">
        <v>46103</v>
      </c>
      <c r="M189" s="3">
        <v>2102.7600000000002</v>
      </c>
      <c r="N189" s="3">
        <v>0</v>
      </c>
      <c r="O189">
        <v>0</v>
      </c>
      <c r="P189" t="s">
        <v>239</v>
      </c>
    </row>
    <row r="190" spans="1:16">
      <c r="A190" s="2">
        <v>46088</v>
      </c>
      <c r="B190" t="s">
        <v>257</v>
      </c>
      <c r="C190" t="s">
        <v>82</v>
      </c>
      <c r="D190" t="s">
        <v>34</v>
      </c>
      <c r="E190" t="s">
        <v>48</v>
      </c>
      <c r="F190" s="3">
        <v>1456.07</v>
      </c>
      <c r="G190" t="s">
        <v>71</v>
      </c>
      <c r="H190" t="s">
        <v>62</v>
      </c>
      <c r="I190">
        <v>30</v>
      </c>
      <c r="J190" s="2">
        <v>46118</v>
      </c>
      <c r="K190" t="s">
        <v>50</v>
      </c>
      <c r="L190" s="2">
        <v>46124</v>
      </c>
      <c r="M190" s="3">
        <v>1456.07</v>
      </c>
      <c r="N190" s="3">
        <v>0</v>
      </c>
      <c r="O190">
        <v>0</v>
      </c>
      <c r="P190" t="s">
        <v>239</v>
      </c>
    </row>
    <row r="191" spans="1:16">
      <c r="A191" s="2">
        <v>46088</v>
      </c>
      <c r="B191" t="s">
        <v>258</v>
      </c>
      <c r="C191" t="s">
        <v>82</v>
      </c>
      <c r="D191" t="s">
        <v>42</v>
      </c>
      <c r="E191" t="s">
        <v>53</v>
      </c>
      <c r="F191" s="3">
        <v>2599.1799999999998</v>
      </c>
      <c r="G191" t="s">
        <v>49</v>
      </c>
      <c r="H191" t="s">
        <v>37</v>
      </c>
      <c r="I191">
        <v>7</v>
      </c>
      <c r="J191" s="2">
        <v>46095</v>
      </c>
      <c r="K191" t="s">
        <v>50</v>
      </c>
      <c r="L191" s="2">
        <v>46100</v>
      </c>
      <c r="M191" s="3">
        <v>2599.1799999999998</v>
      </c>
      <c r="N191" s="3">
        <v>0</v>
      </c>
      <c r="O191">
        <v>0</v>
      </c>
      <c r="P191" t="s">
        <v>239</v>
      </c>
    </row>
    <row r="192" spans="1:16">
      <c r="A192" s="2">
        <v>46089</v>
      </c>
      <c r="B192" t="s">
        <v>259</v>
      </c>
      <c r="C192" t="s">
        <v>64</v>
      </c>
      <c r="D192" t="s">
        <v>42</v>
      </c>
      <c r="E192" t="s">
        <v>43</v>
      </c>
      <c r="F192" s="3">
        <v>1476.22</v>
      </c>
      <c r="G192" t="s">
        <v>44</v>
      </c>
      <c r="H192" t="s">
        <v>69</v>
      </c>
      <c r="I192">
        <v>15</v>
      </c>
      <c r="J192" s="2">
        <v>46104</v>
      </c>
      <c r="K192" t="s">
        <v>50</v>
      </c>
      <c r="L192" s="2">
        <v>46105</v>
      </c>
      <c r="M192" s="3">
        <v>1476.22</v>
      </c>
      <c r="N192" s="3">
        <v>0</v>
      </c>
      <c r="O192">
        <v>0</v>
      </c>
      <c r="P192" t="s">
        <v>239</v>
      </c>
    </row>
    <row r="193" spans="1:16">
      <c r="A193" s="2">
        <v>46089</v>
      </c>
      <c r="B193" t="s">
        <v>260</v>
      </c>
      <c r="C193" t="s">
        <v>80</v>
      </c>
      <c r="D193" t="s">
        <v>65</v>
      </c>
      <c r="E193" t="s">
        <v>57</v>
      </c>
      <c r="F193" s="3">
        <v>329.82</v>
      </c>
      <c r="G193" t="s">
        <v>36</v>
      </c>
      <c r="H193" t="s">
        <v>66</v>
      </c>
      <c r="I193">
        <v>7</v>
      </c>
      <c r="J193" s="2">
        <v>46096</v>
      </c>
      <c r="K193" t="s">
        <v>38</v>
      </c>
      <c r="L193" s="2"/>
      <c r="M193" s="3">
        <v>0</v>
      </c>
      <c r="N193" s="3">
        <v>329.82</v>
      </c>
      <c r="O193">
        <v>0</v>
      </c>
      <c r="P193" t="s">
        <v>239</v>
      </c>
    </row>
    <row r="194" spans="1:16">
      <c r="A194" s="2">
        <v>46089</v>
      </c>
      <c r="B194" t="s">
        <v>261</v>
      </c>
      <c r="C194" t="s">
        <v>41</v>
      </c>
      <c r="D194" t="s">
        <v>34</v>
      </c>
      <c r="E194" t="s">
        <v>53</v>
      </c>
      <c r="F194" s="3">
        <v>1200.83</v>
      </c>
      <c r="G194" t="s">
        <v>44</v>
      </c>
      <c r="H194" t="s">
        <v>37</v>
      </c>
      <c r="I194">
        <v>45</v>
      </c>
      <c r="J194" s="2">
        <v>46134</v>
      </c>
      <c r="K194" t="s">
        <v>38</v>
      </c>
      <c r="L194" s="2"/>
      <c r="M194" s="3">
        <v>0</v>
      </c>
      <c r="N194" s="3">
        <v>1200.83</v>
      </c>
      <c r="O194">
        <v>0</v>
      </c>
      <c r="P194" t="s">
        <v>239</v>
      </c>
    </row>
    <row r="195" spans="1:16">
      <c r="A195" s="2">
        <v>46090</v>
      </c>
      <c r="B195" t="s">
        <v>262</v>
      </c>
      <c r="C195" t="s">
        <v>56</v>
      </c>
      <c r="D195" t="s">
        <v>34</v>
      </c>
      <c r="E195" t="s">
        <v>53</v>
      </c>
      <c r="F195" s="3">
        <v>1200.17</v>
      </c>
      <c r="G195" t="s">
        <v>49</v>
      </c>
      <c r="H195" t="s">
        <v>66</v>
      </c>
      <c r="I195">
        <v>15</v>
      </c>
      <c r="J195" s="2">
        <v>46105</v>
      </c>
      <c r="K195" t="s">
        <v>50</v>
      </c>
      <c r="L195" s="2">
        <v>46111</v>
      </c>
      <c r="M195" s="3">
        <v>1200.17</v>
      </c>
      <c r="N195" s="3">
        <v>0</v>
      </c>
      <c r="O195">
        <v>0</v>
      </c>
      <c r="P195" t="s">
        <v>239</v>
      </c>
    </row>
    <row r="196" spans="1:16">
      <c r="A196" s="2">
        <v>46090</v>
      </c>
      <c r="B196" t="s">
        <v>263</v>
      </c>
      <c r="C196" t="s">
        <v>41</v>
      </c>
      <c r="D196" t="s">
        <v>34</v>
      </c>
      <c r="E196" t="s">
        <v>53</v>
      </c>
      <c r="F196" s="3">
        <v>6733.86</v>
      </c>
      <c r="G196" t="s">
        <v>49</v>
      </c>
      <c r="H196" t="s">
        <v>45</v>
      </c>
      <c r="I196">
        <v>30</v>
      </c>
      <c r="J196" s="2">
        <v>46120</v>
      </c>
      <c r="K196" t="s">
        <v>50</v>
      </c>
      <c r="L196" s="2">
        <v>46126</v>
      </c>
      <c r="M196" s="3">
        <v>6733.86</v>
      </c>
      <c r="N196" s="3">
        <v>0</v>
      </c>
      <c r="O196">
        <v>0</v>
      </c>
      <c r="P196" t="s">
        <v>239</v>
      </c>
    </row>
    <row r="197" spans="1:16">
      <c r="A197" s="2">
        <v>46091</v>
      </c>
      <c r="B197" t="s">
        <v>264</v>
      </c>
      <c r="C197" t="s">
        <v>84</v>
      </c>
      <c r="D197" t="s">
        <v>52</v>
      </c>
      <c r="E197" t="s">
        <v>43</v>
      </c>
      <c r="F197" s="3">
        <v>545.19000000000005</v>
      </c>
      <c r="G197" t="s">
        <v>71</v>
      </c>
      <c r="H197" t="s">
        <v>58</v>
      </c>
      <c r="I197">
        <v>7</v>
      </c>
      <c r="J197" s="2">
        <v>46098</v>
      </c>
      <c r="K197" t="s">
        <v>38</v>
      </c>
      <c r="L197" s="2"/>
      <c r="M197" s="3">
        <v>0</v>
      </c>
      <c r="N197" s="3">
        <v>545.19000000000005</v>
      </c>
      <c r="O197">
        <v>0</v>
      </c>
      <c r="P197" t="s">
        <v>239</v>
      </c>
    </row>
    <row r="198" spans="1:16">
      <c r="A198" s="2">
        <v>46091</v>
      </c>
      <c r="B198" t="s">
        <v>265</v>
      </c>
      <c r="C198" t="s">
        <v>33</v>
      </c>
      <c r="D198" t="s">
        <v>34</v>
      </c>
      <c r="E198" t="s">
        <v>57</v>
      </c>
      <c r="F198" s="3">
        <v>1717.43</v>
      </c>
      <c r="G198" t="s">
        <v>49</v>
      </c>
      <c r="H198" t="s">
        <v>69</v>
      </c>
      <c r="I198">
        <v>15</v>
      </c>
      <c r="J198" s="2">
        <v>46106</v>
      </c>
      <c r="K198" t="s">
        <v>50</v>
      </c>
      <c r="L198" s="2">
        <v>46109</v>
      </c>
      <c r="M198" s="3">
        <v>1717.43</v>
      </c>
      <c r="N198" s="3">
        <v>0</v>
      </c>
      <c r="O198">
        <v>0</v>
      </c>
      <c r="P198" t="s">
        <v>239</v>
      </c>
    </row>
    <row r="199" spans="1:16">
      <c r="A199" s="2">
        <v>46091</v>
      </c>
      <c r="B199" t="s">
        <v>266</v>
      </c>
      <c r="C199" t="s">
        <v>56</v>
      </c>
      <c r="D199" t="s">
        <v>52</v>
      </c>
      <c r="E199" t="s">
        <v>35</v>
      </c>
      <c r="F199" s="3">
        <v>627.72</v>
      </c>
      <c r="G199" t="s">
        <v>44</v>
      </c>
      <c r="H199" t="s">
        <v>66</v>
      </c>
      <c r="I199">
        <v>30</v>
      </c>
      <c r="J199" s="2">
        <v>46121</v>
      </c>
      <c r="K199" t="s">
        <v>50</v>
      </c>
      <c r="L199" s="2">
        <v>46126</v>
      </c>
      <c r="M199" s="3">
        <v>627.72</v>
      </c>
      <c r="N199" s="3">
        <v>0</v>
      </c>
      <c r="O199">
        <v>0</v>
      </c>
      <c r="P199" t="s">
        <v>239</v>
      </c>
    </row>
    <row r="200" spans="1:16">
      <c r="A200" s="2">
        <v>46091</v>
      </c>
      <c r="B200" t="s">
        <v>267</v>
      </c>
      <c r="C200" t="s">
        <v>47</v>
      </c>
      <c r="D200" t="s">
        <v>65</v>
      </c>
      <c r="E200" t="s">
        <v>48</v>
      </c>
      <c r="F200" s="3">
        <v>1159.04</v>
      </c>
      <c r="G200" t="s">
        <v>36</v>
      </c>
      <c r="H200" t="s">
        <v>69</v>
      </c>
      <c r="I200">
        <v>30</v>
      </c>
      <c r="J200" s="2">
        <v>46121</v>
      </c>
      <c r="K200" t="s">
        <v>50</v>
      </c>
      <c r="L200" s="2">
        <v>46122</v>
      </c>
      <c r="M200" s="3">
        <v>1159.04</v>
      </c>
      <c r="N200" s="3">
        <v>0</v>
      </c>
      <c r="O200">
        <v>0</v>
      </c>
      <c r="P200" t="s">
        <v>239</v>
      </c>
    </row>
    <row r="201" spans="1:16">
      <c r="A201" s="2">
        <v>46091</v>
      </c>
      <c r="B201" t="s">
        <v>268</v>
      </c>
      <c r="C201" t="s">
        <v>56</v>
      </c>
      <c r="D201" t="s">
        <v>52</v>
      </c>
      <c r="E201" t="s">
        <v>35</v>
      </c>
      <c r="F201" s="3">
        <v>259.75</v>
      </c>
      <c r="G201" t="s">
        <v>36</v>
      </c>
      <c r="H201" t="s">
        <v>69</v>
      </c>
      <c r="I201">
        <v>30</v>
      </c>
      <c r="J201" s="2">
        <v>46121</v>
      </c>
      <c r="K201" t="s">
        <v>72</v>
      </c>
      <c r="L201" s="2"/>
      <c r="M201" s="3">
        <v>0</v>
      </c>
      <c r="N201" s="3">
        <v>259.75</v>
      </c>
      <c r="O201">
        <v>137</v>
      </c>
      <c r="P201" t="s">
        <v>239</v>
      </c>
    </row>
    <row r="202" spans="1:16">
      <c r="A202" s="2">
        <v>46092</v>
      </c>
      <c r="B202" t="s">
        <v>269</v>
      </c>
      <c r="C202" t="s">
        <v>74</v>
      </c>
      <c r="D202" t="s">
        <v>34</v>
      </c>
      <c r="E202" t="s">
        <v>35</v>
      </c>
      <c r="F202" s="3">
        <v>1183.97</v>
      </c>
      <c r="G202" t="s">
        <v>71</v>
      </c>
      <c r="H202" t="s">
        <v>62</v>
      </c>
      <c r="I202">
        <v>30</v>
      </c>
      <c r="J202" s="2">
        <v>46122</v>
      </c>
      <c r="K202" t="s">
        <v>50</v>
      </c>
      <c r="L202" s="2">
        <v>46124</v>
      </c>
      <c r="M202" s="3">
        <v>1183.97</v>
      </c>
      <c r="N202" s="3">
        <v>0</v>
      </c>
      <c r="O202">
        <v>0</v>
      </c>
      <c r="P202" t="s">
        <v>239</v>
      </c>
    </row>
    <row r="203" spans="1:16">
      <c r="A203" s="2">
        <v>46092</v>
      </c>
      <c r="B203" t="s">
        <v>270</v>
      </c>
      <c r="C203" t="s">
        <v>61</v>
      </c>
      <c r="D203" t="s">
        <v>52</v>
      </c>
      <c r="E203" t="s">
        <v>43</v>
      </c>
      <c r="F203" s="3">
        <v>957.97</v>
      </c>
      <c r="G203" t="s">
        <v>44</v>
      </c>
      <c r="H203" t="s">
        <v>58</v>
      </c>
      <c r="I203">
        <v>30</v>
      </c>
      <c r="J203" s="2">
        <v>46122</v>
      </c>
      <c r="K203" t="s">
        <v>50</v>
      </c>
      <c r="L203" s="2">
        <v>46124</v>
      </c>
      <c r="M203" s="3">
        <v>957.97</v>
      </c>
      <c r="N203" s="3">
        <v>0</v>
      </c>
      <c r="O203">
        <v>0</v>
      </c>
      <c r="P203" t="s">
        <v>239</v>
      </c>
    </row>
    <row r="204" spans="1:16">
      <c r="A204" s="2">
        <v>46093</v>
      </c>
      <c r="B204" t="s">
        <v>271</v>
      </c>
      <c r="C204" t="s">
        <v>41</v>
      </c>
      <c r="D204" t="s">
        <v>65</v>
      </c>
      <c r="E204" t="s">
        <v>48</v>
      </c>
      <c r="F204" s="3">
        <v>2418.71</v>
      </c>
      <c r="G204" t="s">
        <v>71</v>
      </c>
      <c r="H204" t="s">
        <v>66</v>
      </c>
      <c r="I204">
        <v>30</v>
      </c>
      <c r="J204" s="2">
        <v>46123</v>
      </c>
      <c r="K204" t="s">
        <v>50</v>
      </c>
      <c r="L204" s="2">
        <v>46126</v>
      </c>
      <c r="M204" s="3">
        <v>2418.71</v>
      </c>
      <c r="N204" s="3">
        <v>0</v>
      </c>
      <c r="O204">
        <v>0</v>
      </c>
      <c r="P204" t="s">
        <v>239</v>
      </c>
    </row>
    <row r="205" spans="1:16">
      <c r="A205" s="2">
        <v>46093</v>
      </c>
      <c r="B205" t="s">
        <v>272</v>
      </c>
      <c r="C205" t="s">
        <v>56</v>
      </c>
      <c r="D205" t="s">
        <v>34</v>
      </c>
      <c r="E205" t="s">
        <v>43</v>
      </c>
      <c r="F205" s="3">
        <v>1100.3599999999999</v>
      </c>
      <c r="G205" t="s">
        <v>36</v>
      </c>
      <c r="H205" t="s">
        <v>62</v>
      </c>
      <c r="I205">
        <v>15</v>
      </c>
      <c r="J205" s="2">
        <v>46108</v>
      </c>
      <c r="K205" t="s">
        <v>50</v>
      </c>
      <c r="L205" s="2">
        <v>46111</v>
      </c>
      <c r="M205" s="3">
        <v>1100.3599999999999</v>
      </c>
      <c r="N205" s="3">
        <v>0</v>
      </c>
      <c r="O205">
        <v>0</v>
      </c>
      <c r="P205" t="s">
        <v>239</v>
      </c>
    </row>
    <row r="206" spans="1:16">
      <c r="A206" s="2">
        <v>46094</v>
      </c>
      <c r="B206" t="s">
        <v>273</v>
      </c>
      <c r="C206" t="s">
        <v>90</v>
      </c>
      <c r="D206" t="s">
        <v>34</v>
      </c>
      <c r="E206" t="s">
        <v>48</v>
      </c>
      <c r="F206" s="3">
        <v>1337.17</v>
      </c>
      <c r="G206" t="s">
        <v>49</v>
      </c>
      <c r="H206" t="s">
        <v>45</v>
      </c>
      <c r="I206">
        <v>7</v>
      </c>
      <c r="J206" s="2">
        <v>46101</v>
      </c>
      <c r="K206" t="s">
        <v>50</v>
      </c>
      <c r="L206" s="2">
        <v>46102</v>
      </c>
      <c r="M206" s="3">
        <v>1337.17</v>
      </c>
      <c r="N206" s="3">
        <v>0</v>
      </c>
      <c r="O206">
        <v>0</v>
      </c>
      <c r="P206" t="s">
        <v>239</v>
      </c>
    </row>
    <row r="207" spans="1:16">
      <c r="A207" s="2">
        <v>46094</v>
      </c>
      <c r="B207" t="s">
        <v>274</v>
      </c>
      <c r="C207" t="s">
        <v>47</v>
      </c>
      <c r="D207" t="s">
        <v>42</v>
      </c>
      <c r="E207" t="s">
        <v>35</v>
      </c>
      <c r="F207" s="3">
        <v>2655.76</v>
      </c>
      <c r="G207" t="s">
        <v>44</v>
      </c>
      <c r="H207" t="s">
        <v>69</v>
      </c>
      <c r="I207">
        <v>7</v>
      </c>
      <c r="J207" s="2">
        <v>46101</v>
      </c>
      <c r="K207" t="s">
        <v>50</v>
      </c>
      <c r="L207" s="2">
        <v>46111</v>
      </c>
      <c r="M207" s="3">
        <v>2655.76</v>
      </c>
      <c r="N207" s="3">
        <v>0</v>
      </c>
      <c r="O207">
        <v>0</v>
      </c>
      <c r="P207" t="s">
        <v>239</v>
      </c>
    </row>
    <row r="208" spans="1:16">
      <c r="A208" s="2">
        <v>46095</v>
      </c>
      <c r="B208" t="s">
        <v>275</v>
      </c>
      <c r="C208" t="s">
        <v>90</v>
      </c>
      <c r="D208" t="s">
        <v>65</v>
      </c>
      <c r="E208" t="s">
        <v>57</v>
      </c>
      <c r="F208" s="3">
        <v>2292.84</v>
      </c>
      <c r="G208" t="s">
        <v>36</v>
      </c>
      <c r="H208" t="s">
        <v>45</v>
      </c>
      <c r="I208">
        <v>7</v>
      </c>
      <c r="J208" s="2">
        <v>46102</v>
      </c>
      <c r="K208" t="s">
        <v>50</v>
      </c>
      <c r="L208" s="2">
        <v>46108</v>
      </c>
      <c r="M208" s="3">
        <v>2292.84</v>
      </c>
      <c r="N208" s="3">
        <v>0</v>
      </c>
      <c r="O208">
        <v>0</v>
      </c>
      <c r="P208" t="s">
        <v>239</v>
      </c>
    </row>
    <row r="209" spans="1:16">
      <c r="A209" s="2">
        <v>46096</v>
      </c>
      <c r="B209" t="s">
        <v>276</v>
      </c>
      <c r="C209" t="s">
        <v>64</v>
      </c>
      <c r="D209" t="s">
        <v>65</v>
      </c>
      <c r="E209" t="s">
        <v>48</v>
      </c>
      <c r="F209" s="3">
        <v>1477.95</v>
      </c>
      <c r="G209" t="s">
        <v>36</v>
      </c>
      <c r="H209" t="s">
        <v>45</v>
      </c>
      <c r="I209">
        <v>30</v>
      </c>
      <c r="J209" s="2">
        <v>46126</v>
      </c>
      <c r="K209" t="s">
        <v>50</v>
      </c>
      <c r="L209" s="2">
        <v>46134</v>
      </c>
      <c r="M209" s="3">
        <v>1477.95</v>
      </c>
      <c r="N209" s="3">
        <v>0</v>
      </c>
      <c r="O209">
        <v>0</v>
      </c>
      <c r="P209" t="s">
        <v>239</v>
      </c>
    </row>
    <row r="210" spans="1:16">
      <c r="A210" s="2">
        <v>46097</v>
      </c>
      <c r="B210" t="s">
        <v>277</v>
      </c>
      <c r="C210" t="s">
        <v>47</v>
      </c>
      <c r="D210" t="s">
        <v>34</v>
      </c>
      <c r="E210" t="s">
        <v>35</v>
      </c>
      <c r="F210" s="3">
        <v>3397.89</v>
      </c>
      <c r="G210" t="s">
        <v>36</v>
      </c>
      <c r="H210" t="s">
        <v>66</v>
      </c>
      <c r="I210">
        <v>15</v>
      </c>
      <c r="J210" s="2">
        <v>46112</v>
      </c>
      <c r="K210" t="s">
        <v>50</v>
      </c>
      <c r="L210" s="2">
        <v>46116</v>
      </c>
      <c r="M210" s="3">
        <v>3397.89</v>
      </c>
      <c r="N210" s="3">
        <v>0</v>
      </c>
      <c r="O210">
        <v>0</v>
      </c>
      <c r="P210" t="s">
        <v>239</v>
      </c>
    </row>
    <row r="211" spans="1:16">
      <c r="A211" s="2">
        <v>46097</v>
      </c>
      <c r="B211" t="s">
        <v>278</v>
      </c>
      <c r="C211" t="s">
        <v>64</v>
      </c>
      <c r="D211" t="s">
        <v>34</v>
      </c>
      <c r="E211" t="s">
        <v>53</v>
      </c>
      <c r="F211" s="3">
        <v>499.95</v>
      </c>
      <c r="G211" t="s">
        <v>71</v>
      </c>
      <c r="H211" t="s">
        <v>58</v>
      </c>
      <c r="I211">
        <v>30</v>
      </c>
      <c r="J211" s="2">
        <v>46127</v>
      </c>
      <c r="K211" t="s">
        <v>38</v>
      </c>
      <c r="L211" s="2"/>
      <c r="M211" s="3">
        <v>0</v>
      </c>
      <c r="N211" s="3">
        <v>499.95</v>
      </c>
      <c r="O211">
        <v>0</v>
      </c>
      <c r="P211" t="s">
        <v>239</v>
      </c>
    </row>
    <row r="212" spans="1:16">
      <c r="A212" s="2">
        <v>46097</v>
      </c>
      <c r="B212" t="s">
        <v>279</v>
      </c>
      <c r="C212" t="s">
        <v>74</v>
      </c>
      <c r="D212" t="s">
        <v>65</v>
      </c>
      <c r="E212" t="s">
        <v>48</v>
      </c>
      <c r="F212" s="3">
        <v>1985.45</v>
      </c>
      <c r="G212" t="s">
        <v>44</v>
      </c>
      <c r="H212" t="s">
        <v>69</v>
      </c>
      <c r="I212">
        <v>30</v>
      </c>
      <c r="J212" s="2">
        <v>46127</v>
      </c>
      <c r="K212" t="s">
        <v>72</v>
      </c>
      <c r="L212" s="2"/>
      <c r="M212" s="3">
        <v>0</v>
      </c>
      <c r="N212" s="3">
        <v>1985.45</v>
      </c>
      <c r="O212">
        <v>131</v>
      </c>
      <c r="P212" t="s">
        <v>239</v>
      </c>
    </row>
    <row r="213" spans="1:16">
      <c r="A213" s="2">
        <v>46098</v>
      </c>
      <c r="B213" t="s">
        <v>280</v>
      </c>
      <c r="C213" t="s">
        <v>41</v>
      </c>
      <c r="D213" t="s">
        <v>42</v>
      </c>
      <c r="E213" t="s">
        <v>53</v>
      </c>
      <c r="F213" s="3">
        <v>1818.39</v>
      </c>
      <c r="G213" t="s">
        <v>36</v>
      </c>
      <c r="H213" t="s">
        <v>69</v>
      </c>
      <c r="I213">
        <v>7</v>
      </c>
      <c r="J213" s="2">
        <v>46105</v>
      </c>
      <c r="K213" t="s">
        <v>38</v>
      </c>
      <c r="L213" s="2"/>
      <c r="M213" s="3">
        <v>0</v>
      </c>
      <c r="N213" s="3">
        <v>1818.39</v>
      </c>
      <c r="O213">
        <v>0</v>
      </c>
      <c r="P213" t="s">
        <v>239</v>
      </c>
    </row>
    <row r="214" spans="1:16">
      <c r="A214" s="2">
        <v>46102</v>
      </c>
      <c r="B214" t="s">
        <v>281</v>
      </c>
      <c r="C214" t="s">
        <v>90</v>
      </c>
      <c r="D214" t="s">
        <v>34</v>
      </c>
      <c r="E214" t="s">
        <v>48</v>
      </c>
      <c r="F214" s="3">
        <v>1882.68</v>
      </c>
      <c r="G214" t="s">
        <v>36</v>
      </c>
      <c r="H214" t="s">
        <v>45</v>
      </c>
      <c r="I214">
        <v>45</v>
      </c>
      <c r="J214" s="2">
        <v>46147</v>
      </c>
      <c r="K214" t="s">
        <v>50</v>
      </c>
      <c r="L214" s="2">
        <v>46155</v>
      </c>
      <c r="M214" s="3">
        <v>1882.68</v>
      </c>
      <c r="N214" s="3">
        <v>0</v>
      </c>
      <c r="O214">
        <v>0</v>
      </c>
      <c r="P214" t="s">
        <v>239</v>
      </c>
    </row>
    <row r="215" spans="1:16">
      <c r="A215" s="2">
        <v>46103</v>
      </c>
      <c r="B215" t="s">
        <v>282</v>
      </c>
      <c r="C215" t="s">
        <v>84</v>
      </c>
      <c r="D215" t="s">
        <v>42</v>
      </c>
      <c r="E215" t="s">
        <v>53</v>
      </c>
      <c r="F215" s="3">
        <v>591.59</v>
      </c>
      <c r="G215" t="s">
        <v>36</v>
      </c>
      <c r="H215" t="s">
        <v>66</v>
      </c>
      <c r="I215">
        <v>30</v>
      </c>
      <c r="J215" s="2">
        <v>46133</v>
      </c>
      <c r="K215" t="s">
        <v>50</v>
      </c>
      <c r="L215" s="2">
        <v>46133</v>
      </c>
      <c r="M215" s="3">
        <v>591.59</v>
      </c>
      <c r="N215" s="3">
        <v>0</v>
      </c>
      <c r="O215">
        <v>0</v>
      </c>
      <c r="P215" t="s">
        <v>239</v>
      </c>
    </row>
    <row r="216" spans="1:16">
      <c r="A216" s="2">
        <v>46103</v>
      </c>
      <c r="B216" t="s">
        <v>283</v>
      </c>
      <c r="C216" t="s">
        <v>90</v>
      </c>
      <c r="D216" t="s">
        <v>52</v>
      </c>
      <c r="E216" t="s">
        <v>48</v>
      </c>
      <c r="F216" s="3">
        <v>1090.1400000000001</v>
      </c>
      <c r="G216" t="s">
        <v>49</v>
      </c>
      <c r="H216" t="s">
        <v>58</v>
      </c>
      <c r="I216">
        <v>45</v>
      </c>
      <c r="J216" s="2">
        <v>46148</v>
      </c>
      <c r="K216" t="s">
        <v>50</v>
      </c>
      <c r="L216" s="2">
        <v>46156</v>
      </c>
      <c r="M216" s="3">
        <v>1090.1400000000001</v>
      </c>
      <c r="N216" s="3">
        <v>0</v>
      </c>
      <c r="O216">
        <v>0</v>
      </c>
      <c r="P216" t="s">
        <v>239</v>
      </c>
    </row>
    <row r="217" spans="1:16">
      <c r="A217" s="2">
        <v>46103</v>
      </c>
      <c r="B217" t="s">
        <v>284</v>
      </c>
      <c r="C217" t="s">
        <v>84</v>
      </c>
      <c r="D217" t="s">
        <v>42</v>
      </c>
      <c r="E217" t="s">
        <v>57</v>
      </c>
      <c r="F217" s="3">
        <v>1749.02</v>
      </c>
      <c r="G217" t="s">
        <v>36</v>
      </c>
      <c r="H217" t="s">
        <v>69</v>
      </c>
      <c r="I217">
        <v>30</v>
      </c>
      <c r="J217" s="2">
        <v>46133</v>
      </c>
      <c r="K217" t="s">
        <v>50</v>
      </c>
      <c r="L217" s="2">
        <v>46138</v>
      </c>
      <c r="M217" s="3">
        <v>1749.02</v>
      </c>
      <c r="N217" s="3">
        <v>0</v>
      </c>
      <c r="O217">
        <v>0</v>
      </c>
      <c r="P217" t="s">
        <v>239</v>
      </c>
    </row>
    <row r="218" spans="1:16">
      <c r="A218" s="2">
        <v>46103</v>
      </c>
      <c r="B218" t="s">
        <v>285</v>
      </c>
      <c r="C218" t="s">
        <v>90</v>
      </c>
      <c r="D218" t="s">
        <v>65</v>
      </c>
      <c r="E218" t="s">
        <v>57</v>
      </c>
      <c r="F218" s="3">
        <v>1195.9000000000001</v>
      </c>
      <c r="G218" t="s">
        <v>44</v>
      </c>
      <c r="H218" t="s">
        <v>45</v>
      </c>
      <c r="I218">
        <v>30</v>
      </c>
      <c r="J218" s="2">
        <v>46133</v>
      </c>
      <c r="K218" t="s">
        <v>38</v>
      </c>
      <c r="L218" s="2"/>
      <c r="M218" s="3">
        <v>0</v>
      </c>
      <c r="N218" s="3">
        <v>1195.9000000000001</v>
      </c>
      <c r="O218">
        <v>0</v>
      </c>
      <c r="P218" t="s">
        <v>239</v>
      </c>
    </row>
    <row r="219" spans="1:16">
      <c r="A219" s="2">
        <v>46104</v>
      </c>
      <c r="B219" t="s">
        <v>286</v>
      </c>
      <c r="C219" t="s">
        <v>47</v>
      </c>
      <c r="D219" t="s">
        <v>52</v>
      </c>
      <c r="E219" t="s">
        <v>57</v>
      </c>
      <c r="F219" s="3">
        <v>725.44</v>
      </c>
      <c r="G219" t="s">
        <v>49</v>
      </c>
      <c r="H219" t="s">
        <v>66</v>
      </c>
      <c r="I219">
        <v>15</v>
      </c>
      <c r="J219" s="2">
        <v>46119</v>
      </c>
      <c r="K219" t="s">
        <v>50</v>
      </c>
      <c r="L219" s="2">
        <v>46126</v>
      </c>
      <c r="M219" s="3">
        <v>725.44</v>
      </c>
      <c r="N219" s="3">
        <v>0</v>
      </c>
      <c r="O219">
        <v>0</v>
      </c>
      <c r="P219" t="s">
        <v>239</v>
      </c>
    </row>
    <row r="220" spans="1:16">
      <c r="A220" s="2">
        <v>46104</v>
      </c>
      <c r="B220" t="s">
        <v>287</v>
      </c>
      <c r="C220" t="s">
        <v>33</v>
      </c>
      <c r="D220" t="s">
        <v>34</v>
      </c>
      <c r="E220" t="s">
        <v>35</v>
      </c>
      <c r="F220" s="3">
        <v>2571.1</v>
      </c>
      <c r="G220" t="s">
        <v>71</v>
      </c>
      <c r="H220" t="s">
        <v>45</v>
      </c>
      <c r="I220">
        <v>30</v>
      </c>
      <c r="J220" s="2">
        <v>46134</v>
      </c>
      <c r="K220" t="s">
        <v>50</v>
      </c>
      <c r="L220" s="2">
        <v>46136</v>
      </c>
      <c r="M220" s="3">
        <v>2571.1</v>
      </c>
      <c r="N220" s="3">
        <v>0</v>
      </c>
      <c r="O220">
        <v>0</v>
      </c>
      <c r="P220" t="s">
        <v>239</v>
      </c>
    </row>
    <row r="221" spans="1:16">
      <c r="A221" s="2">
        <v>46104</v>
      </c>
      <c r="B221" t="s">
        <v>288</v>
      </c>
      <c r="C221" t="s">
        <v>61</v>
      </c>
      <c r="D221" t="s">
        <v>34</v>
      </c>
      <c r="E221" t="s">
        <v>53</v>
      </c>
      <c r="F221" s="3">
        <v>1179.75</v>
      </c>
      <c r="G221" t="s">
        <v>36</v>
      </c>
      <c r="H221" t="s">
        <v>66</v>
      </c>
      <c r="I221">
        <v>7</v>
      </c>
      <c r="J221" s="2">
        <v>46111</v>
      </c>
      <c r="K221" t="s">
        <v>50</v>
      </c>
      <c r="L221" s="2">
        <v>46113</v>
      </c>
      <c r="M221" s="3">
        <v>1179.75</v>
      </c>
      <c r="N221" s="3">
        <v>0</v>
      </c>
      <c r="O221">
        <v>0</v>
      </c>
      <c r="P221" t="s">
        <v>239</v>
      </c>
    </row>
    <row r="222" spans="1:16">
      <c r="A222" s="2">
        <v>46106</v>
      </c>
      <c r="B222" t="s">
        <v>289</v>
      </c>
      <c r="C222" t="s">
        <v>74</v>
      </c>
      <c r="D222" t="s">
        <v>65</v>
      </c>
      <c r="E222" t="s">
        <v>43</v>
      </c>
      <c r="F222" s="3">
        <v>748.15</v>
      </c>
      <c r="G222" t="s">
        <v>36</v>
      </c>
      <c r="H222" t="s">
        <v>69</v>
      </c>
      <c r="I222">
        <v>15</v>
      </c>
      <c r="J222" s="2">
        <v>46121</v>
      </c>
      <c r="K222" t="s">
        <v>38</v>
      </c>
      <c r="L222" s="2"/>
      <c r="M222" s="3">
        <v>0</v>
      </c>
      <c r="N222" s="3">
        <v>748.15</v>
      </c>
      <c r="O222">
        <v>0</v>
      </c>
      <c r="P222" t="s">
        <v>239</v>
      </c>
    </row>
    <row r="223" spans="1:16">
      <c r="A223" s="2">
        <v>46106</v>
      </c>
      <c r="B223" t="s">
        <v>290</v>
      </c>
      <c r="C223" t="s">
        <v>82</v>
      </c>
      <c r="D223" t="s">
        <v>34</v>
      </c>
      <c r="E223" t="s">
        <v>53</v>
      </c>
      <c r="F223" s="3">
        <v>1124.95</v>
      </c>
      <c r="G223" t="s">
        <v>71</v>
      </c>
      <c r="H223" t="s">
        <v>58</v>
      </c>
      <c r="I223">
        <v>15</v>
      </c>
      <c r="J223" s="2">
        <v>46121</v>
      </c>
      <c r="K223" t="s">
        <v>50</v>
      </c>
      <c r="L223" s="2">
        <v>46129</v>
      </c>
      <c r="M223" s="3">
        <v>1124.95</v>
      </c>
      <c r="N223" s="3">
        <v>0</v>
      </c>
      <c r="O223">
        <v>0</v>
      </c>
      <c r="P223" t="s">
        <v>239</v>
      </c>
    </row>
    <row r="224" spans="1:16">
      <c r="A224" s="2">
        <v>46106</v>
      </c>
      <c r="B224" t="s">
        <v>291</v>
      </c>
      <c r="C224" t="s">
        <v>61</v>
      </c>
      <c r="D224" t="s">
        <v>34</v>
      </c>
      <c r="E224" t="s">
        <v>57</v>
      </c>
      <c r="F224" s="3">
        <v>2072.7600000000002</v>
      </c>
      <c r="G224" t="s">
        <v>36</v>
      </c>
      <c r="H224" t="s">
        <v>58</v>
      </c>
      <c r="I224">
        <v>30</v>
      </c>
      <c r="J224" s="2">
        <v>46136</v>
      </c>
      <c r="K224" t="s">
        <v>72</v>
      </c>
      <c r="L224" s="2"/>
      <c r="M224" s="3">
        <v>0</v>
      </c>
      <c r="N224" s="3">
        <v>2072.7600000000002</v>
      </c>
      <c r="O224">
        <v>122</v>
      </c>
      <c r="P224" t="s">
        <v>239</v>
      </c>
    </row>
    <row r="225" spans="1:16">
      <c r="A225" s="2">
        <v>46106</v>
      </c>
      <c r="B225" t="s">
        <v>292</v>
      </c>
      <c r="C225" t="s">
        <v>47</v>
      </c>
      <c r="D225" t="s">
        <v>34</v>
      </c>
      <c r="E225" t="s">
        <v>57</v>
      </c>
      <c r="F225" s="3">
        <v>1922.81</v>
      </c>
      <c r="G225" t="s">
        <v>36</v>
      </c>
      <c r="H225" t="s">
        <v>62</v>
      </c>
      <c r="I225">
        <v>15</v>
      </c>
      <c r="J225" s="2">
        <v>46121</v>
      </c>
      <c r="K225" t="s">
        <v>38</v>
      </c>
      <c r="L225" s="2"/>
      <c r="M225" s="3">
        <v>0</v>
      </c>
      <c r="N225" s="3">
        <v>1922.81</v>
      </c>
      <c r="O225">
        <v>0</v>
      </c>
      <c r="P225" t="s">
        <v>239</v>
      </c>
    </row>
    <row r="226" spans="1:16">
      <c r="A226" s="2">
        <v>46107</v>
      </c>
      <c r="B226" t="s">
        <v>293</v>
      </c>
      <c r="C226" t="s">
        <v>68</v>
      </c>
      <c r="D226" t="s">
        <v>52</v>
      </c>
      <c r="E226" t="s">
        <v>57</v>
      </c>
      <c r="F226" s="3">
        <v>987.3</v>
      </c>
      <c r="G226" t="s">
        <v>36</v>
      </c>
      <c r="H226" t="s">
        <v>37</v>
      </c>
      <c r="I226">
        <v>7</v>
      </c>
      <c r="J226" s="2">
        <v>46114</v>
      </c>
      <c r="K226" t="s">
        <v>72</v>
      </c>
      <c r="L226" s="2"/>
      <c r="M226" s="3">
        <v>0</v>
      </c>
      <c r="N226" s="3">
        <v>987.3</v>
      </c>
      <c r="O226">
        <v>144</v>
      </c>
      <c r="P226" t="s">
        <v>239</v>
      </c>
    </row>
    <row r="227" spans="1:16">
      <c r="A227" s="2">
        <v>46108</v>
      </c>
      <c r="B227" t="s">
        <v>294</v>
      </c>
      <c r="C227" t="s">
        <v>33</v>
      </c>
      <c r="D227" t="s">
        <v>65</v>
      </c>
      <c r="E227" t="s">
        <v>53</v>
      </c>
      <c r="F227" s="3">
        <v>1366.25</v>
      </c>
      <c r="G227" t="s">
        <v>44</v>
      </c>
      <c r="H227" t="s">
        <v>69</v>
      </c>
      <c r="I227">
        <v>30</v>
      </c>
      <c r="J227" s="2">
        <v>46138</v>
      </c>
      <c r="K227" t="s">
        <v>50</v>
      </c>
      <c r="L227" s="2">
        <v>46143</v>
      </c>
      <c r="M227" s="3">
        <v>1366.25</v>
      </c>
      <c r="N227" s="3">
        <v>0</v>
      </c>
      <c r="O227">
        <v>0</v>
      </c>
      <c r="P227" t="s">
        <v>239</v>
      </c>
    </row>
    <row r="228" spans="1:16">
      <c r="A228" s="2">
        <v>46108</v>
      </c>
      <c r="B228" t="s">
        <v>295</v>
      </c>
      <c r="C228" t="s">
        <v>56</v>
      </c>
      <c r="D228" t="s">
        <v>65</v>
      </c>
      <c r="E228" t="s">
        <v>57</v>
      </c>
      <c r="F228" s="3">
        <v>841.05</v>
      </c>
      <c r="G228" t="s">
        <v>36</v>
      </c>
      <c r="H228" t="s">
        <v>58</v>
      </c>
      <c r="I228">
        <v>30</v>
      </c>
      <c r="J228" s="2">
        <v>46138</v>
      </c>
      <c r="K228" t="s">
        <v>50</v>
      </c>
      <c r="L228" s="2">
        <v>46140</v>
      </c>
      <c r="M228" s="3">
        <v>841.05</v>
      </c>
      <c r="N228" s="3">
        <v>0</v>
      </c>
      <c r="O228">
        <v>0</v>
      </c>
      <c r="P228" t="s">
        <v>239</v>
      </c>
    </row>
    <row r="229" spans="1:16">
      <c r="A229" s="2">
        <v>46108</v>
      </c>
      <c r="B229" t="s">
        <v>296</v>
      </c>
      <c r="C229" t="s">
        <v>47</v>
      </c>
      <c r="D229" t="s">
        <v>42</v>
      </c>
      <c r="E229" t="s">
        <v>43</v>
      </c>
      <c r="F229" s="3">
        <v>2125.4</v>
      </c>
      <c r="G229" t="s">
        <v>36</v>
      </c>
      <c r="H229" t="s">
        <v>62</v>
      </c>
      <c r="I229">
        <v>15</v>
      </c>
      <c r="J229" s="2">
        <v>46123</v>
      </c>
      <c r="K229" t="s">
        <v>50</v>
      </c>
      <c r="L229" s="2">
        <v>46125</v>
      </c>
      <c r="M229" s="3">
        <v>2125.4</v>
      </c>
      <c r="N229" s="3">
        <v>0</v>
      </c>
      <c r="O229">
        <v>0</v>
      </c>
      <c r="P229" t="s">
        <v>239</v>
      </c>
    </row>
    <row r="230" spans="1:16">
      <c r="A230" s="2">
        <v>46108</v>
      </c>
      <c r="B230" t="s">
        <v>297</v>
      </c>
      <c r="C230" t="s">
        <v>80</v>
      </c>
      <c r="D230" t="s">
        <v>34</v>
      </c>
      <c r="E230" t="s">
        <v>53</v>
      </c>
      <c r="F230" s="3">
        <v>334.78</v>
      </c>
      <c r="G230" t="s">
        <v>44</v>
      </c>
      <c r="H230" t="s">
        <v>66</v>
      </c>
      <c r="I230">
        <v>30</v>
      </c>
      <c r="J230" s="2">
        <v>46138</v>
      </c>
      <c r="K230" t="s">
        <v>50</v>
      </c>
      <c r="L230" s="2">
        <v>46143</v>
      </c>
      <c r="M230" s="3">
        <v>334.78</v>
      </c>
      <c r="N230" s="3">
        <v>0</v>
      </c>
      <c r="O230">
        <v>0</v>
      </c>
      <c r="P230" t="s">
        <v>239</v>
      </c>
    </row>
    <row r="231" spans="1:16">
      <c r="A231" s="2">
        <v>46108</v>
      </c>
      <c r="B231" t="s">
        <v>298</v>
      </c>
      <c r="C231" t="s">
        <v>74</v>
      </c>
      <c r="D231" t="s">
        <v>65</v>
      </c>
      <c r="E231" t="s">
        <v>53</v>
      </c>
      <c r="F231" s="3">
        <v>1793.11</v>
      </c>
      <c r="G231" t="s">
        <v>49</v>
      </c>
      <c r="H231" t="s">
        <v>62</v>
      </c>
      <c r="I231">
        <v>30</v>
      </c>
      <c r="J231" s="2">
        <v>46138</v>
      </c>
      <c r="K231" t="s">
        <v>38</v>
      </c>
      <c r="L231" s="2"/>
      <c r="M231" s="3">
        <v>0</v>
      </c>
      <c r="N231" s="3">
        <v>1793.11</v>
      </c>
      <c r="O231">
        <v>0</v>
      </c>
      <c r="P231" t="s">
        <v>239</v>
      </c>
    </row>
    <row r="232" spans="1:16">
      <c r="A232" s="2">
        <v>46109</v>
      </c>
      <c r="B232" t="s">
        <v>299</v>
      </c>
      <c r="C232" t="s">
        <v>47</v>
      </c>
      <c r="D232" t="s">
        <v>65</v>
      </c>
      <c r="E232" t="s">
        <v>57</v>
      </c>
      <c r="F232" s="3">
        <v>2708.27</v>
      </c>
      <c r="G232" t="s">
        <v>44</v>
      </c>
      <c r="H232" t="s">
        <v>66</v>
      </c>
      <c r="I232">
        <v>30</v>
      </c>
      <c r="J232" s="2">
        <v>46139</v>
      </c>
      <c r="K232" t="s">
        <v>38</v>
      </c>
      <c r="L232" s="2"/>
      <c r="M232" s="3">
        <v>0</v>
      </c>
      <c r="N232" s="3">
        <v>2708.27</v>
      </c>
      <c r="O232">
        <v>0</v>
      </c>
      <c r="P232" t="s">
        <v>239</v>
      </c>
    </row>
    <row r="233" spans="1:16">
      <c r="A233" s="2">
        <v>46110</v>
      </c>
      <c r="B233" t="s">
        <v>300</v>
      </c>
      <c r="C233" t="s">
        <v>68</v>
      </c>
      <c r="D233" t="s">
        <v>34</v>
      </c>
      <c r="E233" t="s">
        <v>43</v>
      </c>
      <c r="F233" s="3">
        <v>1559.61</v>
      </c>
      <c r="G233" t="s">
        <v>49</v>
      </c>
      <c r="H233" t="s">
        <v>62</v>
      </c>
      <c r="I233">
        <v>7</v>
      </c>
      <c r="J233" s="2">
        <v>46117</v>
      </c>
      <c r="K233" t="s">
        <v>72</v>
      </c>
      <c r="L233" s="2"/>
      <c r="M233" s="3">
        <v>0</v>
      </c>
      <c r="N233" s="3">
        <v>1559.61</v>
      </c>
      <c r="O233">
        <v>141</v>
      </c>
      <c r="P233" t="s">
        <v>239</v>
      </c>
    </row>
    <row r="234" spans="1:16">
      <c r="A234" s="2">
        <v>46110</v>
      </c>
      <c r="B234" t="s">
        <v>301</v>
      </c>
      <c r="C234" t="s">
        <v>90</v>
      </c>
      <c r="D234" t="s">
        <v>42</v>
      </c>
      <c r="E234" t="s">
        <v>48</v>
      </c>
      <c r="F234" s="3">
        <v>1429.3</v>
      </c>
      <c r="G234" t="s">
        <v>49</v>
      </c>
      <c r="H234" t="s">
        <v>58</v>
      </c>
      <c r="I234">
        <v>15</v>
      </c>
      <c r="J234" s="2">
        <v>46125</v>
      </c>
      <c r="K234" t="s">
        <v>50</v>
      </c>
      <c r="L234" s="2">
        <v>46126</v>
      </c>
      <c r="M234" s="3">
        <v>1429.3</v>
      </c>
      <c r="N234" s="3">
        <v>0</v>
      </c>
      <c r="O234">
        <v>0</v>
      </c>
      <c r="P234" t="s">
        <v>239</v>
      </c>
    </row>
    <row r="235" spans="1:16">
      <c r="A235" s="2">
        <v>46110</v>
      </c>
      <c r="B235" t="s">
        <v>302</v>
      </c>
      <c r="C235" t="s">
        <v>64</v>
      </c>
      <c r="D235" t="s">
        <v>42</v>
      </c>
      <c r="E235" t="s">
        <v>48</v>
      </c>
      <c r="F235" s="3">
        <v>615.55999999999995</v>
      </c>
      <c r="G235" t="s">
        <v>71</v>
      </c>
      <c r="H235" t="s">
        <v>69</v>
      </c>
      <c r="I235">
        <v>30</v>
      </c>
      <c r="J235" s="2">
        <v>46140</v>
      </c>
      <c r="K235" t="s">
        <v>50</v>
      </c>
      <c r="L235" s="2">
        <v>46151</v>
      </c>
      <c r="M235" s="3">
        <v>615.55999999999995</v>
      </c>
      <c r="N235" s="3">
        <v>0</v>
      </c>
      <c r="O235">
        <v>0</v>
      </c>
      <c r="P235" t="s">
        <v>239</v>
      </c>
    </row>
    <row r="236" spans="1:16">
      <c r="A236" s="2">
        <v>46111</v>
      </c>
      <c r="B236" t="s">
        <v>303</v>
      </c>
      <c r="C236" t="s">
        <v>90</v>
      </c>
      <c r="D236" t="s">
        <v>65</v>
      </c>
      <c r="E236" t="s">
        <v>57</v>
      </c>
      <c r="F236" s="3">
        <v>1151.27</v>
      </c>
      <c r="G236" t="s">
        <v>36</v>
      </c>
      <c r="H236" t="s">
        <v>45</v>
      </c>
      <c r="I236">
        <v>30</v>
      </c>
      <c r="J236" s="2">
        <v>46141</v>
      </c>
      <c r="K236" t="s">
        <v>50</v>
      </c>
      <c r="L236" s="2">
        <v>46148</v>
      </c>
      <c r="M236" s="3">
        <v>1151.27</v>
      </c>
      <c r="N236" s="3">
        <v>0</v>
      </c>
      <c r="O236">
        <v>0</v>
      </c>
      <c r="P236" t="s">
        <v>239</v>
      </c>
    </row>
    <row r="237" spans="1:16">
      <c r="A237" s="2">
        <v>46111</v>
      </c>
      <c r="B237" t="s">
        <v>304</v>
      </c>
      <c r="C237" t="s">
        <v>80</v>
      </c>
      <c r="D237" t="s">
        <v>42</v>
      </c>
      <c r="E237" t="s">
        <v>43</v>
      </c>
      <c r="F237" s="3">
        <v>1250.2</v>
      </c>
      <c r="G237" t="s">
        <v>71</v>
      </c>
      <c r="H237" t="s">
        <v>58</v>
      </c>
      <c r="I237">
        <v>45</v>
      </c>
      <c r="J237" s="2">
        <v>46156</v>
      </c>
      <c r="K237" t="s">
        <v>72</v>
      </c>
      <c r="L237" s="2"/>
      <c r="M237" s="3">
        <v>0</v>
      </c>
      <c r="N237" s="3">
        <v>1250.2</v>
      </c>
      <c r="O237">
        <v>102</v>
      </c>
      <c r="P237" t="s">
        <v>239</v>
      </c>
    </row>
    <row r="238" spans="1:16">
      <c r="A238" s="2">
        <v>46111</v>
      </c>
      <c r="B238" t="s">
        <v>305</v>
      </c>
      <c r="C238" t="s">
        <v>56</v>
      </c>
      <c r="D238" t="s">
        <v>34</v>
      </c>
      <c r="E238" t="s">
        <v>57</v>
      </c>
      <c r="F238" s="3">
        <v>1062.4100000000001</v>
      </c>
      <c r="G238" t="s">
        <v>44</v>
      </c>
      <c r="H238" t="s">
        <v>58</v>
      </c>
      <c r="I238">
        <v>45</v>
      </c>
      <c r="J238" s="2">
        <v>46156</v>
      </c>
      <c r="K238" t="s">
        <v>38</v>
      </c>
      <c r="L238" s="2"/>
      <c r="M238" s="3">
        <v>0</v>
      </c>
      <c r="N238" s="3">
        <v>1062.4100000000001</v>
      </c>
      <c r="O238">
        <v>0</v>
      </c>
      <c r="P238" t="s">
        <v>239</v>
      </c>
    </row>
    <row r="239" spans="1:16">
      <c r="A239" s="2">
        <v>46111</v>
      </c>
      <c r="B239" t="s">
        <v>306</v>
      </c>
      <c r="C239" t="s">
        <v>47</v>
      </c>
      <c r="D239" t="s">
        <v>42</v>
      </c>
      <c r="E239" t="s">
        <v>57</v>
      </c>
      <c r="F239" s="3">
        <v>1252.83</v>
      </c>
      <c r="G239" t="s">
        <v>44</v>
      </c>
      <c r="H239" t="s">
        <v>62</v>
      </c>
      <c r="I239">
        <v>7</v>
      </c>
      <c r="J239" s="2">
        <v>46118</v>
      </c>
      <c r="K239" t="s">
        <v>50</v>
      </c>
      <c r="L239" s="2">
        <v>46127</v>
      </c>
      <c r="M239" s="3">
        <v>1252.83</v>
      </c>
      <c r="N239" s="3">
        <v>0</v>
      </c>
      <c r="O239">
        <v>0</v>
      </c>
      <c r="P239" t="s">
        <v>239</v>
      </c>
    </row>
    <row r="240" spans="1:16">
      <c r="A240" s="2">
        <v>46112</v>
      </c>
      <c r="B240" t="s">
        <v>307</v>
      </c>
      <c r="C240" t="s">
        <v>82</v>
      </c>
      <c r="D240" t="s">
        <v>42</v>
      </c>
      <c r="E240" t="s">
        <v>53</v>
      </c>
      <c r="F240" s="3">
        <v>1332.72</v>
      </c>
      <c r="G240" t="s">
        <v>36</v>
      </c>
      <c r="H240" t="s">
        <v>45</v>
      </c>
      <c r="I240">
        <v>30</v>
      </c>
      <c r="J240" s="2">
        <v>46142</v>
      </c>
      <c r="K240" t="s">
        <v>72</v>
      </c>
      <c r="L240" s="2"/>
      <c r="M240" s="3">
        <v>0</v>
      </c>
      <c r="N240" s="3">
        <v>1332.72</v>
      </c>
      <c r="O240">
        <v>116</v>
      </c>
      <c r="P240" t="s">
        <v>239</v>
      </c>
    </row>
    <row r="241" spans="1:16">
      <c r="A241" s="2">
        <v>46112</v>
      </c>
      <c r="B241" t="s">
        <v>308</v>
      </c>
      <c r="C241" t="s">
        <v>68</v>
      </c>
      <c r="D241" t="s">
        <v>52</v>
      </c>
      <c r="E241" t="s">
        <v>57</v>
      </c>
      <c r="F241" s="3">
        <v>919.18</v>
      </c>
      <c r="G241" t="s">
        <v>36</v>
      </c>
      <c r="H241" t="s">
        <v>45</v>
      </c>
      <c r="I241">
        <v>7</v>
      </c>
      <c r="J241" s="2">
        <v>46119</v>
      </c>
      <c r="K241" t="s">
        <v>50</v>
      </c>
      <c r="L241" s="2">
        <v>46122</v>
      </c>
      <c r="M241" s="3">
        <v>919.18</v>
      </c>
      <c r="N241" s="3">
        <v>0</v>
      </c>
      <c r="O241">
        <v>0</v>
      </c>
      <c r="P241" t="s">
        <v>239</v>
      </c>
    </row>
    <row r="242" spans="1:16">
      <c r="A242" s="2">
        <v>46112</v>
      </c>
      <c r="B242" t="s">
        <v>309</v>
      </c>
      <c r="C242" t="s">
        <v>82</v>
      </c>
      <c r="D242" t="s">
        <v>52</v>
      </c>
      <c r="E242" t="s">
        <v>35</v>
      </c>
      <c r="F242" s="3">
        <v>1915.17</v>
      </c>
      <c r="G242" t="s">
        <v>36</v>
      </c>
      <c r="H242" t="s">
        <v>58</v>
      </c>
      <c r="I242">
        <v>15</v>
      </c>
      <c r="J242" s="2">
        <v>46127</v>
      </c>
      <c r="K242" t="s">
        <v>50</v>
      </c>
      <c r="L242" s="2">
        <v>46129</v>
      </c>
      <c r="M242" s="3">
        <v>1915.17</v>
      </c>
      <c r="N242" s="3">
        <v>0</v>
      </c>
      <c r="O242">
        <v>0</v>
      </c>
      <c r="P242" t="s">
        <v>239</v>
      </c>
    </row>
    <row r="243" spans="1:16">
      <c r="A243" s="2">
        <v>46112</v>
      </c>
      <c r="B243" t="s">
        <v>310</v>
      </c>
      <c r="C243" t="s">
        <v>68</v>
      </c>
      <c r="D243" t="s">
        <v>52</v>
      </c>
      <c r="E243" t="s">
        <v>35</v>
      </c>
      <c r="F243" s="3">
        <v>1370.38</v>
      </c>
      <c r="G243" t="s">
        <v>36</v>
      </c>
      <c r="H243" t="s">
        <v>58</v>
      </c>
      <c r="I243">
        <v>30</v>
      </c>
      <c r="J243" s="2">
        <v>46142</v>
      </c>
      <c r="K243" t="s">
        <v>50</v>
      </c>
      <c r="L243" s="2">
        <v>46142</v>
      </c>
      <c r="M243" s="3">
        <v>1370.38</v>
      </c>
      <c r="N243" s="3">
        <v>0</v>
      </c>
      <c r="O243">
        <v>0</v>
      </c>
      <c r="P243" t="s">
        <v>239</v>
      </c>
    </row>
    <row r="244" spans="1:16">
      <c r="A244" s="2">
        <v>46112</v>
      </c>
      <c r="B244" t="s">
        <v>311</v>
      </c>
      <c r="C244" t="s">
        <v>41</v>
      </c>
      <c r="D244" t="s">
        <v>42</v>
      </c>
      <c r="E244" t="s">
        <v>43</v>
      </c>
      <c r="F244" s="3">
        <v>3701.26</v>
      </c>
      <c r="G244" t="s">
        <v>44</v>
      </c>
      <c r="H244" t="s">
        <v>66</v>
      </c>
      <c r="I244">
        <v>30</v>
      </c>
      <c r="J244" s="2">
        <v>46142</v>
      </c>
      <c r="K244" t="s">
        <v>50</v>
      </c>
      <c r="L244" s="2">
        <v>46142</v>
      </c>
      <c r="M244" s="3">
        <v>3701.26</v>
      </c>
      <c r="N244" s="3">
        <v>0</v>
      </c>
      <c r="O244">
        <v>0</v>
      </c>
      <c r="P244" t="s">
        <v>239</v>
      </c>
    </row>
    <row r="245" spans="1:16">
      <c r="A245" s="2">
        <v>46112</v>
      </c>
      <c r="B245" t="s">
        <v>312</v>
      </c>
      <c r="C245" t="s">
        <v>74</v>
      </c>
      <c r="D245" t="s">
        <v>52</v>
      </c>
      <c r="E245" t="s">
        <v>57</v>
      </c>
      <c r="F245" s="3">
        <v>2297.27</v>
      </c>
      <c r="G245" t="s">
        <v>44</v>
      </c>
      <c r="H245" t="s">
        <v>66</v>
      </c>
      <c r="I245">
        <v>45</v>
      </c>
      <c r="J245" s="2">
        <v>46157</v>
      </c>
      <c r="K245" t="s">
        <v>50</v>
      </c>
      <c r="L245" s="2">
        <v>46161</v>
      </c>
      <c r="M245" s="3">
        <v>2297.27</v>
      </c>
      <c r="N245" s="3">
        <v>0</v>
      </c>
      <c r="O245">
        <v>0</v>
      </c>
      <c r="P245" t="s">
        <v>239</v>
      </c>
    </row>
    <row r="246" spans="1:16">
      <c r="A246" s="2">
        <v>46114</v>
      </c>
      <c r="B246" t="s">
        <v>313</v>
      </c>
      <c r="C246" t="s">
        <v>64</v>
      </c>
      <c r="D246" t="s">
        <v>52</v>
      </c>
      <c r="E246" t="s">
        <v>43</v>
      </c>
      <c r="F246" s="3">
        <v>2936.53</v>
      </c>
      <c r="G246" t="s">
        <v>36</v>
      </c>
      <c r="H246" t="s">
        <v>58</v>
      </c>
      <c r="I246">
        <v>7</v>
      </c>
      <c r="J246" s="2">
        <v>46121</v>
      </c>
      <c r="K246" t="s">
        <v>38</v>
      </c>
      <c r="L246" s="2"/>
      <c r="M246" s="3">
        <v>0</v>
      </c>
      <c r="N246" s="3">
        <v>2936.53</v>
      </c>
      <c r="O246">
        <v>0</v>
      </c>
      <c r="P246" t="s">
        <v>314</v>
      </c>
    </row>
    <row r="247" spans="1:16">
      <c r="A247" s="2">
        <v>46114</v>
      </c>
      <c r="B247" t="s">
        <v>315</v>
      </c>
      <c r="C247" t="s">
        <v>74</v>
      </c>
      <c r="D247" t="s">
        <v>65</v>
      </c>
      <c r="E247" t="s">
        <v>53</v>
      </c>
      <c r="F247" s="3">
        <v>862.88</v>
      </c>
      <c r="G247" t="s">
        <v>44</v>
      </c>
      <c r="H247" t="s">
        <v>62</v>
      </c>
      <c r="I247">
        <v>30</v>
      </c>
      <c r="J247" s="2">
        <v>46144</v>
      </c>
      <c r="K247" t="s">
        <v>50</v>
      </c>
      <c r="L247" s="2">
        <v>46149</v>
      </c>
      <c r="M247" s="3">
        <v>862.88</v>
      </c>
      <c r="N247" s="3">
        <v>0</v>
      </c>
      <c r="O247">
        <v>0</v>
      </c>
      <c r="P247" t="s">
        <v>314</v>
      </c>
    </row>
    <row r="248" spans="1:16">
      <c r="A248" s="2">
        <v>46114</v>
      </c>
      <c r="B248" t="s">
        <v>316</v>
      </c>
      <c r="C248" t="s">
        <v>56</v>
      </c>
      <c r="D248" t="s">
        <v>42</v>
      </c>
      <c r="E248" t="s">
        <v>57</v>
      </c>
      <c r="F248" s="3">
        <v>1730.29</v>
      </c>
      <c r="G248" t="s">
        <v>71</v>
      </c>
      <c r="H248" t="s">
        <v>69</v>
      </c>
      <c r="I248">
        <v>45</v>
      </c>
      <c r="J248" s="2">
        <v>46159</v>
      </c>
      <c r="K248" t="s">
        <v>50</v>
      </c>
      <c r="L248" s="2">
        <v>46167</v>
      </c>
      <c r="M248" s="3">
        <v>1730.29</v>
      </c>
      <c r="N248" s="3">
        <v>0</v>
      </c>
      <c r="O248">
        <v>0</v>
      </c>
      <c r="P248" t="s">
        <v>314</v>
      </c>
    </row>
    <row r="249" spans="1:16">
      <c r="A249" s="2">
        <v>46114</v>
      </c>
      <c r="B249" t="s">
        <v>317</v>
      </c>
      <c r="C249" t="s">
        <v>33</v>
      </c>
      <c r="D249" t="s">
        <v>65</v>
      </c>
      <c r="E249" t="s">
        <v>48</v>
      </c>
      <c r="F249" s="3">
        <v>3079.36</v>
      </c>
      <c r="G249" t="s">
        <v>44</v>
      </c>
      <c r="H249" t="s">
        <v>69</v>
      </c>
      <c r="I249">
        <v>30</v>
      </c>
      <c r="J249" s="2">
        <v>46144</v>
      </c>
      <c r="K249" t="s">
        <v>50</v>
      </c>
      <c r="L249" s="2">
        <v>46152</v>
      </c>
      <c r="M249" s="3">
        <v>3079.36</v>
      </c>
      <c r="N249" s="3">
        <v>0</v>
      </c>
      <c r="O249">
        <v>0</v>
      </c>
      <c r="P249" t="s">
        <v>314</v>
      </c>
    </row>
    <row r="250" spans="1:16">
      <c r="A250" s="2">
        <v>46115</v>
      </c>
      <c r="B250" t="s">
        <v>318</v>
      </c>
      <c r="C250" t="s">
        <v>74</v>
      </c>
      <c r="D250" t="s">
        <v>34</v>
      </c>
      <c r="E250" t="s">
        <v>48</v>
      </c>
      <c r="F250" s="3">
        <v>893.06</v>
      </c>
      <c r="G250" t="s">
        <v>49</v>
      </c>
      <c r="H250" t="s">
        <v>45</v>
      </c>
      <c r="I250">
        <v>7</v>
      </c>
      <c r="J250" s="2">
        <v>46122</v>
      </c>
      <c r="K250" t="s">
        <v>50</v>
      </c>
      <c r="L250" s="2">
        <v>46129</v>
      </c>
      <c r="M250" s="3">
        <v>893.06</v>
      </c>
      <c r="N250" s="3">
        <v>0</v>
      </c>
      <c r="O250">
        <v>0</v>
      </c>
      <c r="P250" t="s">
        <v>314</v>
      </c>
    </row>
    <row r="251" spans="1:16">
      <c r="A251" s="2">
        <v>46115</v>
      </c>
      <c r="B251" t="s">
        <v>319</v>
      </c>
      <c r="C251" t="s">
        <v>90</v>
      </c>
      <c r="D251" t="s">
        <v>34</v>
      </c>
      <c r="E251" t="s">
        <v>35</v>
      </c>
      <c r="F251" s="3">
        <v>2431.84</v>
      </c>
      <c r="G251" t="s">
        <v>49</v>
      </c>
      <c r="H251" t="s">
        <v>69</v>
      </c>
      <c r="I251">
        <v>15</v>
      </c>
      <c r="J251" s="2">
        <v>46130</v>
      </c>
      <c r="K251" t="s">
        <v>50</v>
      </c>
      <c r="L251" s="2">
        <v>46131</v>
      </c>
      <c r="M251" s="3">
        <v>2431.84</v>
      </c>
      <c r="N251" s="3">
        <v>0</v>
      </c>
      <c r="O251">
        <v>0</v>
      </c>
      <c r="P251" t="s">
        <v>314</v>
      </c>
    </row>
    <row r="252" spans="1:16">
      <c r="A252" s="2">
        <v>46115</v>
      </c>
      <c r="B252" t="s">
        <v>320</v>
      </c>
      <c r="C252" t="s">
        <v>41</v>
      </c>
      <c r="D252" t="s">
        <v>42</v>
      </c>
      <c r="E252" t="s">
        <v>53</v>
      </c>
      <c r="F252" s="3">
        <v>1627.99</v>
      </c>
      <c r="G252" t="s">
        <v>44</v>
      </c>
      <c r="H252" t="s">
        <v>69</v>
      </c>
      <c r="I252">
        <v>15</v>
      </c>
      <c r="J252" s="2">
        <v>46130</v>
      </c>
      <c r="K252" t="s">
        <v>50</v>
      </c>
      <c r="L252" s="2">
        <v>46131</v>
      </c>
      <c r="M252" s="3">
        <v>1627.99</v>
      </c>
      <c r="N252" s="3">
        <v>0</v>
      </c>
      <c r="O252">
        <v>0</v>
      </c>
      <c r="P252" t="s">
        <v>314</v>
      </c>
    </row>
    <row r="253" spans="1:16">
      <c r="A253" s="2">
        <v>46115</v>
      </c>
      <c r="B253" t="s">
        <v>321</v>
      </c>
      <c r="C253" t="s">
        <v>33</v>
      </c>
      <c r="D253" t="s">
        <v>52</v>
      </c>
      <c r="E253" t="s">
        <v>43</v>
      </c>
      <c r="F253" s="3">
        <v>1535.9</v>
      </c>
      <c r="G253" t="s">
        <v>71</v>
      </c>
      <c r="H253" t="s">
        <v>45</v>
      </c>
      <c r="I253">
        <v>30</v>
      </c>
      <c r="J253" s="2">
        <v>46145</v>
      </c>
      <c r="K253" t="s">
        <v>50</v>
      </c>
      <c r="L253" s="2">
        <v>46147</v>
      </c>
      <c r="M253" s="3">
        <v>1535.9</v>
      </c>
      <c r="N253" s="3">
        <v>0</v>
      </c>
      <c r="O253">
        <v>0</v>
      </c>
      <c r="P253" t="s">
        <v>314</v>
      </c>
    </row>
    <row r="254" spans="1:16">
      <c r="A254" s="2">
        <v>46115</v>
      </c>
      <c r="B254" t="s">
        <v>322</v>
      </c>
      <c r="C254" t="s">
        <v>82</v>
      </c>
      <c r="D254" t="s">
        <v>52</v>
      </c>
      <c r="E254" t="s">
        <v>48</v>
      </c>
      <c r="F254" s="3">
        <v>918.77</v>
      </c>
      <c r="G254" t="s">
        <v>36</v>
      </c>
      <c r="H254" t="s">
        <v>45</v>
      </c>
      <c r="I254">
        <v>45</v>
      </c>
      <c r="J254" s="2">
        <v>46160</v>
      </c>
      <c r="K254" t="s">
        <v>50</v>
      </c>
      <c r="L254" s="2">
        <v>46169</v>
      </c>
      <c r="M254" s="3">
        <v>918.77</v>
      </c>
      <c r="N254" s="3">
        <v>0</v>
      </c>
      <c r="O254">
        <v>0</v>
      </c>
      <c r="P254" t="s">
        <v>314</v>
      </c>
    </row>
    <row r="255" spans="1:16">
      <c r="A255" s="2">
        <v>46115</v>
      </c>
      <c r="B255" t="s">
        <v>323</v>
      </c>
      <c r="C255" t="s">
        <v>74</v>
      </c>
      <c r="D255" t="s">
        <v>65</v>
      </c>
      <c r="E255" t="s">
        <v>53</v>
      </c>
      <c r="F255" s="3">
        <v>717.74</v>
      </c>
      <c r="G255" t="s">
        <v>44</v>
      </c>
      <c r="H255" t="s">
        <v>62</v>
      </c>
      <c r="I255">
        <v>7</v>
      </c>
      <c r="J255" s="2">
        <v>46122</v>
      </c>
      <c r="K255" t="s">
        <v>50</v>
      </c>
      <c r="L255" s="2">
        <v>46122</v>
      </c>
      <c r="M255" s="3">
        <v>717.74</v>
      </c>
      <c r="N255" s="3">
        <v>0</v>
      </c>
      <c r="O255">
        <v>0</v>
      </c>
      <c r="P255" t="s">
        <v>314</v>
      </c>
    </row>
    <row r="256" spans="1:16">
      <c r="A256" s="2">
        <v>46116</v>
      </c>
      <c r="B256" t="s">
        <v>324</v>
      </c>
      <c r="C256" t="s">
        <v>47</v>
      </c>
      <c r="D256" t="s">
        <v>42</v>
      </c>
      <c r="E256" t="s">
        <v>53</v>
      </c>
      <c r="F256" s="3">
        <v>2534.7600000000002</v>
      </c>
      <c r="G256" t="s">
        <v>71</v>
      </c>
      <c r="H256" t="s">
        <v>37</v>
      </c>
      <c r="I256">
        <v>7</v>
      </c>
      <c r="J256" s="2">
        <v>46123</v>
      </c>
      <c r="K256" t="s">
        <v>50</v>
      </c>
      <c r="L256" s="2">
        <v>46130</v>
      </c>
      <c r="M256" s="3">
        <v>2534.7600000000002</v>
      </c>
      <c r="N256" s="3">
        <v>0</v>
      </c>
      <c r="O256">
        <v>0</v>
      </c>
      <c r="P256" t="s">
        <v>314</v>
      </c>
    </row>
    <row r="257" spans="1:16">
      <c r="A257" s="2">
        <v>46116</v>
      </c>
      <c r="B257" t="s">
        <v>325</v>
      </c>
      <c r="C257" t="s">
        <v>64</v>
      </c>
      <c r="D257" t="s">
        <v>34</v>
      </c>
      <c r="E257" t="s">
        <v>48</v>
      </c>
      <c r="F257" s="3">
        <v>2048.6</v>
      </c>
      <c r="G257" t="s">
        <v>44</v>
      </c>
      <c r="H257" t="s">
        <v>66</v>
      </c>
      <c r="I257">
        <v>30</v>
      </c>
      <c r="J257" s="2">
        <v>46146</v>
      </c>
      <c r="K257" t="s">
        <v>50</v>
      </c>
      <c r="L257" s="2">
        <v>46153</v>
      </c>
      <c r="M257" s="3">
        <v>2048.6</v>
      </c>
      <c r="N257" s="3">
        <v>0</v>
      </c>
      <c r="O257">
        <v>0</v>
      </c>
      <c r="P257" t="s">
        <v>314</v>
      </c>
    </row>
    <row r="258" spans="1:16">
      <c r="A258" s="2">
        <v>46117</v>
      </c>
      <c r="B258" t="s">
        <v>326</v>
      </c>
      <c r="C258" t="s">
        <v>61</v>
      </c>
      <c r="D258" t="s">
        <v>34</v>
      </c>
      <c r="E258" t="s">
        <v>48</v>
      </c>
      <c r="F258" s="3">
        <v>1672.58</v>
      </c>
      <c r="G258" t="s">
        <v>44</v>
      </c>
      <c r="H258" t="s">
        <v>58</v>
      </c>
      <c r="I258">
        <v>45</v>
      </c>
      <c r="J258" s="2">
        <v>46162</v>
      </c>
      <c r="K258" t="s">
        <v>50</v>
      </c>
      <c r="L258" s="2">
        <v>46166</v>
      </c>
      <c r="M258" s="3">
        <v>1672.58</v>
      </c>
      <c r="N258" s="3">
        <v>0</v>
      </c>
      <c r="O258">
        <v>0</v>
      </c>
      <c r="P258" t="s">
        <v>314</v>
      </c>
    </row>
    <row r="259" spans="1:16">
      <c r="A259" s="2">
        <v>46117</v>
      </c>
      <c r="B259" t="s">
        <v>327</v>
      </c>
      <c r="C259" t="s">
        <v>68</v>
      </c>
      <c r="D259" t="s">
        <v>52</v>
      </c>
      <c r="E259" t="s">
        <v>43</v>
      </c>
      <c r="F259" s="3">
        <v>571.12</v>
      </c>
      <c r="G259" t="s">
        <v>49</v>
      </c>
      <c r="H259" t="s">
        <v>69</v>
      </c>
      <c r="I259">
        <v>45</v>
      </c>
      <c r="J259" s="2">
        <v>46162</v>
      </c>
      <c r="K259" t="s">
        <v>50</v>
      </c>
      <c r="L259" s="2">
        <v>46170</v>
      </c>
      <c r="M259" s="3">
        <v>571.12</v>
      </c>
      <c r="N259" s="3">
        <v>0</v>
      </c>
      <c r="O259">
        <v>0</v>
      </c>
      <c r="P259" t="s">
        <v>314</v>
      </c>
    </row>
    <row r="260" spans="1:16">
      <c r="A260" s="2">
        <v>46117</v>
      </c>
      <c r="B260" t="s">
        <v>328</v>
      </c>
      <c r="C260" t="s">
        <v>80</v>
      </c>
      <c r="D260" t="s">
        <v>34</v>
      </c>
      <c r="E260" t="s">
        <v>48</v>
      </c>
      <c r="F260" s="3">
        <v>1186.81</v>
      </c>
      <c r="G260" t="s">
        <v>49</v>
      </c>
      <c r="H260" t="s">
        <v>45</v>
      </c>
      <c r="I260">
        <v>30</v>
      </c>
      <c r="J260" s="2">
        <v>46147</v>
      </c>
      <c r="K260" t="s">
        <v>50</v>
      </c>
      <c r="L260" s="2">
        <v>46154</v>
      </c>
      <c r="M260" s="3">
        <v>1186.81</v>
      </c>
      <c r="N260" s="3">
        <v>0</v>
      </c>
      <c r="O260">
        <v>0</v>
      </c>
      <c r="P260" t="s">
        <v>314</v>
      </c>
    </row>
    <row r="261" spans="1:16">
      <c r="A261" s="2">
        <v>46118</v>
      </c>
      <c r="B261" t="s">
        <v>329</v>
      </c>
      <c r="C261" t="s">
        <v>56</v>
      </c>
      <c r="D261" t="s">
        <v>65</v>
      </c>
      <c r="E261" t="s">
        <v>43</v>
      </c>
      <c r="F261" s="3">
        <v>1048.1400000000001</v>
      </c>
      <c r="G261" t="s">
        <v>36</v>
      </c>
      <c r="H261" t="s">
        <v>66</v>
      </c>
      <c r="I261">
        <v>15</v>
      </c>
      <c r="J261" s="2">
        <v>46133</v>
      </c>
      <c r="K261" t="s">
        <v>50</v>
      </c>
      <c r="L261" s="2">
        <v>46136</v>
      </c>
      <c r="M261" s="3">
        <v>1048.1400000000001</v>
      </c>
      <c r="N261" s="3">
        <v>0</v>
      </c>
      <c r="O261">
        <v>0</v>
      </c>
      <c r="P261" t="s">
        <v>314</v>
      </c>
    </row>
    <row r="262" spans="1:16">
      <c r="A262" s="2">
        <v>46118</v>
      </c>
      <c r="B262" t="s">
        <v>330</v>
      </c>
      <c r="C262" t="s">
        <v>56</v>
      </c>
      <c r="D262" t="s">
        <v>34</v>
      </c>
      <c r="E262" t="s">
        <v>57</v>
      </c>
      <c r="F262" s="3">
        <v>1937.2</v>
      </c>
      <c r="G262" t="s">
        <v>71</v>
      </c>
      <c r="H262" t="s">
        <v>45</v>
      </c>
      <c r="I262">
        <v>30</v>
      </c>
      <c r="J262" s="2">
        <v>46148</v>
      </c>
      <c r="K262" t="s">
        <v>50</v>
      </c>
      <c r="L262" s="2">
        <v>46156</v>
      </c>
      <c r="M262" s="3">
        <v>1937.2</v>
      </c>
      <c r="N262" s="3">
        <v>0</v>
      </c>
      <c r="O262">
        <v>0</v>
      </c>
      <c r="P262" t="s">
        <v>314</v>
      </c>
    </row>
    <row r="263" spans="1:16">
      <c r="A263" s="2">
        <v>46118</v>
      </c>
      <c r="B263" t="s">
        <v>331</v>
      </c>
      <c r="C263" t="s">
        <v>90</v>
      </c>
      <c r="D263" t="s">
        <v>42</v>
      </c>
      <c r="E263" t="s">
        <v>53</v>
      </c>
      <c r="F263" s="3">
        <v>5084.28</v>
      </c>
      <c r="G263" t="s">
        <v>36</v>
      </c>
      <c r="H263" t="s">
        <v>37</v>
      </c>
      <c r="I263">
        <v>7</v>
      </c>
      <c r="J263" s="2">
        <v>46125</v>
      </c>
      <c r="K263" t="s">
        <v>72</v>
      </c>
      <c r="L263" s="2"/>
      <c r="M263" s="3">
        <v>0</v>
      </c>
      <c r="N263" s="3">
        <v>5084.28</v>
      </c>
      <c r="O263">
        <v>133</v>
      </c>
      <c r="P263" t="s">
        <v>314</v>
      </c>
    </row>
    <row r="264" spans="1:16">
      <c r="A264" s="2">
        <v>46118</v>
      </c>
      <c r="B264" t="s">
        <v>332</v>
      </c>
      <c r="C264" t="s">
        <v>56</v>
      </c>
      <c r="D264" t="s">
        <v>65</v>
      </c>
      <c r="E264" t="s">
        <v>57</v>
      </c>
      <c r="F264" s="3">
        <v>2589.37</v>
      </c>
      <c r="G264" t="s">
        <v>71</v>
      </c>
      <c r="H264" t="s">
        <v>45</v>
      </c>
      <c r="I264">
        <v>45</v>
      </c>
      <c r="J264" s="2">
        <v>46163</v>
      </c>
      <c r="K264" t="s">
        <v>50</v>
      </c>
      <c r="L264" s="2">
        <v>46164</v>
      </c>
      <c r="M264" s="3">
        <v>2589.37</v>
      </c>
      <c r="N264" s="3">
        <v>0</v>
      </c>
      <c r="O264">
        <v>0</v>
      </c>
      <c r="P264" t="s">
        <v>314</v>
      </c>
    </row>
    <row r="265" spans="1:16">
      <c r="A265" s="2">
        <v>46118</v>
      </c>
      <c r="B265" t="s">
        <v>333</v>
      </c>
      <c r="C265" t="s">
        <v>68</v>
      </c>
      <c r="D265" t="s">
        <v>65</v>
      </c>
      <c r="E265" t="s">
        <v>48</v>
      </c>
      <c r="F265" s="3">
        <v>1009.41</v>
      </c>
      <c r="G265" t="s">
        <v>49</v>
      </c>
      <c r="H265" t="s">
        <v>58</v>
      </c>
      <c r="I265">
        <v>15</v>
      </c>
      <c r="J265" s="2">
        <v>46133</v>
      </c>
      <c r="K265" t="s">
        <v>72</v>
      </c>
      <c r="L265" s="2"/>
      <c r="M265" s="3">
        <v>0</v>
      </c>
      <c r="N265" s="3">
        <v>1009.41</v>
      </c>
      <c r="O265">
        <v>125</v>
      </c>
      <c r="P265" t="s">
        <v>314</v>
      </c>
    </row>
    <row r="266" spans="1:16">
      <c r="A266" s="2">
        <v>46118</v>
      </c>
      <c r="B266" t="s">
        <v>334</v>
      </c>
      <c r="C266" t="s">
        <v>47</v>
      </c>
      <c r="D266" t="s">
        <v>42</v>
      </c>
      <c r="E266" t="s">
        <v>43</v>
      </c>
      <c r="F266" s="3">
        <v>2468.11</v>
      </c>
      <c r="G266" t="s">
        <v>36</v>
      </c>
      <c r="H266" t="s">
        <v>69</v>
      </c>
      <c r="I266">
        <v>30</v>
      </c>
      <c r="J266" s="2">
        <v>46148</v>
      </c>
      <c r="K266" t="s">
        <v>50</v>
      </c>
      <c r="L266" s="2">
        <v>46150</v>
      </c>
      <c r="M266" s="3">
        <v>2468.11</v>
      </c>
      <c r="N266" s="3">
        <v>0</v>
      </c>
      <c r="O266">
        <v>0</v>
      </c>
      <c r="P266" t="s">
        <v>314</v>
      </c>
    </row>
    <row r="267" spans="1:16">
      <c r="A267" s="2">
        <v>46119</v>
      </c>
      <c r="B267" t="s">
        <v>335</v>
      </c>
      <c r="C267" t="s">
        <v>74</v>
      </c>
      <c r="D267" t="s">
        <v>52</v>
      </c>
      <c r="E267" t="s">
        <v>48</v>
      </c>
      <c r="F267" s="3">
        <v>612.01</v>
      </c>
      <c r="G267" t="s">
        <v>49</v>
      </c>
      <c r="H267" t="s">
        <v>66</v>
      </c>
      <c r="I267">
        <v>15</v>
      </c>
      <c r="J267" s="2">
        <v>46134</v>
      </c>
      <c r="K267" t="s">
        <v>50</v>
      </c>
      <c r="L267" s="2">
        <v>46143</v>
      </c>
      <c r="M267" s="3">
        <v>612.01</v>
      </c>
      <c r="N267" s="3">
        <v>0</v>
      </c>
      <c r="O267">
        <v>0</v>
      </c>
      <c r="P267" t="s">
        <v>314</v>
      </c>
    </row>
    <row r="268" spans="1:16">
      <c r="A268" s="2">
        <v>46119</v>
      </c>
      <c r="B268" t="s">
        <v>336</v>
      </c>
      <c r="C268" t="s">
        <v>33</v>
      </c>
      <c r="D268" t="s">
        <v>42</v>
      </c>
      <c r="E268" t="s">
        <v>48</v>
      </c>
      <c r="F268" s="3">
        <v>1047.5899999999999</v>
      </c>
      <c r="G268" t="s">
        <v>36</v>
      </c>
      <c r="H268" t="s">
        <v>69</v>
      </c>
      <c r="I268">
        <v>15</v>
      </c>
      <c r="J268" s="2">
        <v>46134</v>
      </c>
      <c r="K268" t="s">
        <v>72</v>
      </c>
      <c r="L268" s="2"/>
      <c r="M268" s="3">
        <v>0</v>
      </c>
      <c r="N268" s="3">
        <v>1047.5899999999999</v>
      </c>
      <c r="O268">
        <v>124</v>
      </c>
      <c r="P268" t="s">
        <v>314</v>
      </c>
    </row>
    <row r="269" spans="1:16">
      <c r="A269" s="2">
        <v>46120</v>
      </c>
      <c r="B269" t="s">
        <v>337</v>
      </c>
      <c r="C269" t="s">
        <v>56</v>
      </c>
      <c r="D269" t="s">
        <v>34</v>
      </c>
      <c r="E269" t="s">
        <v>35</v>
      </c>
      <c r="F269" s="3">
        <v>1010.68</v>
      </c>
      <c r="G269" t="s">
        <v>36</v>
      </c>
      <c r="H269" t="s">
        <v>66</v>
      </c>
      <c r="I269">
        <v>45</v>
      </c>
      <c r="J269" s="2">
        <v>46165</v>
      </c>
      <c r="K269" t="s">
        <v>38</v>
      </c>
      <c r="L269" s="2"/>
      <c r="M269" s="3">
        <v>0</v>
      </c>
      <c r="N269" s="3">
        <v>1010.68</v>
      </c>
      <c r="O269">
        <v>0</v>
      </c>
      <c r="P269" t="s">
        <v>314</v>
      </c>
    </row>
    <row r="270" spans="1:16">
      <c r="A270" s="2">
        <v>46120</v>
      </c>
      <c r="B270" t="s">
        <v>338</v>
      </c>
      <c r="C270" t="s">
        <v>74</v>
      </c>
      <c r="D270" t="s">
        <v>52</v>
      </c>
      <c r="E270" t="s">
        <v>43</v>
      </c>
      <c r="F270" s="3">
        <v>1624.98</v>
      </c>
      <c r="G270" t="s">
        <v>44</v>
      </c>
      <c r="H270" t="s">
        <v>66</v>
      </c>
      <c r="I270">
        <v>45</v>
      </c>
      <c r="J270" s="2">
        <v>46165</v>
      </c>
      <c r="K270" t="s">
        <v>50</v>
      </c>
      <c r="L270" s="2">
        <v>46167</v>
      </c>
      <c r="M270" s="3">
        <v>1624.98</v>
      </c>
      <c r="N270" s="3">
        <v>0</v>
      </c>
      <c r="O270">
        <v>0</v>
      </c>
      <c r="P270" t="s">
        <v>314</v>
      </c>
    </row>
    <row r="271" spans="1:16">
      <c r="A271" s="2">
        <v>46121</v>
      </c>
      <c r="B271" t="s">
        <v>339</v>
      </c>
      <c r="C271" t="s">
        <v>64</v>
      </c>
      <c r="D271" t="s">
        <v>42</v>
      </c>
      <c r="E271" t="s">
        <v>35</v>
      </c>
      <c r="F271" s="3">
        <v>1685.31</v>
      </c>
      <c r="G271" t="s">
        <v>36</v>
      </c>
      <c r="H271" t="s">
        <v>37</v>
      </c>
      <c r="I271">
        <v>7</v>
      </c>
      <c r="J271" s="2">
        <v>46128</v>
      </c>
      <c r="K271" t="s">
        <v>50</v>
      </c>
      <c r="L271" s="2">
        <v>46132</v>
      </c>
      <c r="M271" s="3">
        <v>1685.31</v>
      </c>
      <c r="N271" s="3">
        <v>0</v>
      </c>
      <c r="O271">
        <v>0</v>
      </c>
      <c r="P271" t="s">
        <v>314</v>
      </c>
    </row>
    <row r="272" spans="1:16">
      <c r="A272" s="2">
        <v>46121</v>
      </c>
      <c r="B272" t="s">
        <v>340</v>
      </c>
      <c r="C272" t="s">
        <v>74</v>
      </c>
      <c r="D272" t="s">
        <v>65</v>
      </c>
      <c r="E272" t="s">
        <v>43</v>
      </c>
      <c r="F272" s="3">
        <v>1685.11</v>
      </c>
      <c r="G272" t="s">
        <v>36</v>
      </c>
      <c r="H272" t="s">
        <v>66</v>
      </c>
      <c r="I272">
        <v>30</v>
      </c>
      <c r="J272" s="2">
        <v>46151</v>
      </c>
      <c r="K272" t="s">
        <v>38</v>
      </c>
      <c r="L272" s="2"/>
      <c r="M272" s="3">
        <v>0</v>
      </c>
      <c r="N272" s="3">
        <v>1685.11</v>
      </c>
      <c r="O272">
        <v>0</v>
      </c>
      <c r="P272" t="s">
        <v>314</v>
      </c>
    </row>
    <row r="273" spans="1:16">
      <c r="A273" s="2">
        <v>46121</v>
      </c>
      <c r="B273" t="s">
        <v>341</v>
      </c>
      <c r="C273" t="s">
        <v>84</v>
      </c>
      <c r="D273" t="s">
        <v>65</v>
      </c>
      <c r="E273" t="s">
        <v>53</v>
      </c>
      <c r="F273" s="3">
        <v>521.58000000000004</v>
      </c>
      <c r="G273" t="s">
        <v>49</v>
      </c>
      <c r="H273" t="s">
        <v>58</v>
      </c>
      <c r="I273">
        <v>30</v>
      </c>
      <c r="J273" s="2">
        <v>46151</v>
      </c>
      <c r="K273" t="s">
        <v>50</v>
      </c>
      <c r="L273" s="2">
        <v>46152</v>
      </c>
      <c r="M273" s="3">
        <v>521.58000000000004</v>
      </c>
      <c r="N273" s="3">
        <v>0</v>
      </c>
      <c r="O273">
        <v>0</v>
      </c>
      <c r="P273" t="s">
        <v>314</v>
      </c>
    </row>
    <row r="274" spans="1:16">
      <c r="A274" s="2">
        <v>46121</v>
      </c>
      <c r="B274" t="s">
        <v>342</v>
      </c>
      <c r="C274" t="s">
        <v>84</v>
      </c>
      <c r="D274" t="s">
        <v>34</v>
      </c>
      <c r="E274" t="s">
        <v>43</v>
      </c>
      <c r="F274" s="3">
        <v>1069.22</v>
      </c>
      <c r="G274" t="s">
        <v>36</v>
      </c>
      <c r="H274" t="s">
        <v>62</v>
      </c>
      <c r="I274">
        <v>7</v>
      </c>
      <c r="J274" s="2">
        <v>46128</v>
      </c>
      <c r="K274" t="s">
        <v>50</v>
      </c>
      <c r="L274" s="2">
        <v>46128</v>
      </c>
      <c r="M274" s="3">
        <v>1069.22</v>
      </c>
      <c r="N274" s="3">
        <v>0</v>
      </c>
      <c r="O274">
        <v>0</v>
      </c>
      <c r="P274" t="s">
        <v>314</v>
      </c>
    </row>
    <row r="275" spans="1:16">
      <c r="A275" s="2">
        <v>46121</v>
      </c>
      <c r="B275" t="s">
        <v>343</v>
      </c>
      <c r="C275" t="s">
        <v>68</v>
      </c>
      <c r="D275" t="s">
        <v>52</v>
      </c>
      <c r="E275" t="s">
        <v>57</v>
      </c>
      <c r="F275" s="3">
        <v>1162</v>
      </c>
      <c r="G275" t="s">
        <v>49</v>
      </c>
      <c r="H275" t="s">
        <v>66</v>
      </c>
      <c r="I275">
        <v>15</v>
      </c>
      <c r="J275" s="2">
        <v>46136</v>
      </c>
      <c r="K275" t="s">
        <v>38</v>
      </c>
      <c r="L275" s="2"/>
      <c r="M275" s="3">
        <v>0</v>
      </c>
      <c r="N275" s="3">
        <v>1162</v>
      </c>
      <c r="O275">
        <v>0</v>
      </c>
      <c r="P275" t="s">
        <v>314</v>
      </c>
    </row>
    <row r="276" spans="1:16">
      <c r="A276" s="2">
        <v>46121</v>
      </c>
      <c r="B276" t="s">
        <v>344</v>
      </c>
      <c r="C276" t="s">
        <v>84</v>
      </c>
      <c r="D276" t="s">
        <v>65</v>
      </c>
      <c r="E276" t="s">
        <v>57</v>
      </c>
      <c r="F276" s="3">
        <v>671.14</v>
      </c>
      <c r="G276" t="s">
        <v>44</v>
      </c>
      <c r="H276" t="s">
        <v>37</v>
      </c>
      <c r="I276">
        <v>30</v>
      </c>
      <c r="J276" s="2">
        <v>46151</v>
      </c>
      <c r="K276" t="s">
        <v>50</v>
      </c>
      <c r="L276" s="2">
        <v>46154</v>
      </c>
      <c r="M276" s="3">
        <v>671.14</v>
      </c>
      <c r="N276" s="3">
        <v>0</v>
      </c>
      <c r="O276">
        <v>0</v>
      </c>
      <c r="P276" t="s">
        <v>314</v>
      </c>
    </row>
    <row r="277" spans="1:16">
      <c r="A277" s="2">
        <v>46121</v>
      </c>
      <c r="B277" t="s">
        <v>345</v>
      </c>
      <c r="C277" t="s">
        <v>90</v>
      </c>
      <c r="D277" t="s">
        <v>34</v>
      </c>
      <c r="E277" t="s">
        <v>48</v>
      </c>
      <c r="F277" s="3">
        <v>812.69</v>
      </c>
      <c r="G277" t="s">
        <v>49</v>
      </c>
      <c r="H277" t="s">
        <v>69</v>
      </c>
      <c r="I277">
        <v>30</v>
      </c>
      <c r="J277" s="2">
        <v>46151</v>
      </c>
      <c r="K277" t="s">
        <v>38</v>
      </c>
      <c r="L277" s="2"/>
      <c r="M277" s="3">
        <v>0</v>
      </c>
      <c r="N277" s="3">
        <v>812.69</v>
      </c>
      <c r="O277">
        <v>0</v>
      </c>
      <c r="P277" t="s">
        <v>314</v>
      </c>
    </row>
    <row r="278" spans="1:16">
      <c r="A278" s="2">
        <v>46121</v>
      </c>
      <c r="B278" t="s">
        <v>346</v>
      </c>
      <c r="C278" t="s">
        <v>84</v>
      </c>
      <c r="D278" t="s">
        <v>34</v>
      </c>
      <c r="E278" t="s">
        <v>35</v>
      </c>
      <c r="F278" s="3">
        <v>666.02</v>
      </c>
      <c r="G278" t="s">
        <v>36</v>
      </c>
      <c r="H278" t="s">
        <v>45</v>
      </c>
      <c r="I278">
        <v>30</v>
      </c>
      <c r="J278" s="2">
        <v>46151</v>
      </c>
      <c r="K278" t="s">
        <v>38</v>
      </c>
      <c r="L278" s="2"/>
      <c r="M278" s="3">
        <v>0</v>
      </c>
      <c r="N278" s="3">
        <v>666.02</v>
      </c>
      <c r="O278">
        <v>0</v>
      </c>
      <c r="P278" t="s">
        <v>314</v>
      </c>
    </row>
    <row r="279" spans="1:16">
      <c r="A279" s="2">
        <v>46122</v>
      </c>
      <c r="B279" t="s">
        <v>347</v>
      </c>
      <c r="C279" t="s">
        <v>74</v>
      </c>
      <c r="D279" t="s">
        <v>42</v>
      </c>
      <c r="E279" t="s">
        <v>35</v>
      </c>
      <c r="F279" s="3">
        <v>1392.3</v>
      </c>
      <c r="G279" t="s">
        <v>44</v>
      </c>
      <c r="H279" t="s">
        <v>45</v>
      </c>
      <c r="I279">
        <v>7</v>
      </c>
      <c r="J279" s="2">
        <v>46129</v>
      </c>
      <c r="K279" t="s">
        <v>38</v>
      </c>
      <c r="L279" s="2"/>
      <c r="M279" s="3">
        <v>0</v>
      </c>
      <c r="N279" s="3">
        <v>1392.3</v>
      </c>
      <c r="O279">
        <v>0</v>
      </c>
      <c r="P279" t="s">
        <v>314</v>
      </c>
    </row>
    <row r="280" spans="1:16">
      <c r="A280" s="2">
        <v>46122</v>
      </c>
      <c r="B280" t="s">
        <v>348</v>
      </c>
      <c r="C280" t="s">
        <v>64</v>
      </c>
      <c r="D280" t="s">
        <v>42</v>
      </c>
      <c r="E280" t="s">
        <v>48</v>
      </c>
      <c r="F280" s="3">
        <v>848.86</v>
      </c>
      <c r="G280" t="s">
        <v>71</v>
      </c>
      <c r="H280" t="s">
        <v>37</v>
      </c>
      <c r="I280">
        <v>7</v>
      </c>
      <c r="J280" s="2">
        <v>46129</v>
      </c>
      <c r="K280" t="s">
        <v>50</v>
      </c>
      <c r="L280" s="2">
        <v>46130</v>
      </c>
      <c r="M280" s="3">
        <v>848.86</v>
      </c>
      <c r="N280" s="3">
        <v>0</v>
      </c>
      <c r="O280">
        <v>0</v>
      </c>
      <c r="P280" t="s">
        <v>314</v>
      </c>
    </row>
    <row r="281" spans="1:16">
      <c r="A281" s="2">
        <v>46122</v>
      </c>
      <c r="B281" t="s">
        <v>349</v>
      </c>
      <c r="C281" t="s">
        <v>68</v>
      </c>
      <c r="D281" t="s">
        <v>34</v>
      </c>
      <c r="E281" t="s">
        <v>57</v>
      </c>
      <c r="F281" s="3">
        <v>1056.9000000000001</v>
      </c>
      <c r="G281" t="s">
        <v>36</v>
      </c>
      <c r="H281" t="s">
        <v>69</v>
      </c>
      <c r="I281">
        <v>7</v>
      </c>
      <c r="J281" s="2">
        <v>46129</v>
      </c>
      <c r="K281" t="s">
        <v>50</v>
      </c>
      <c r="L281" s="2">
        <v>46135</v>
      </c>
      <c r="M281" s="3">
        <v>1056.9000000000001</v>
      </c>
      <c r="N281" s="3">
        <v>0</v>
      </c>
      <c r="O281">
        <v>0</v>
      </c>
      <c r="P281" t="s">
        <v>314</v>
      </c>
    </row>
    <row r="282" spans="1:16">
      <c r="A282" s="2">
        <v>46123</v>
      </c>
      <c r="B282" t="s">
        <v>350</v>
      </c>
      <c r="C282" t="s">
        <v>64</v>
      </c>
      <c r="D282" t="s">
        <v>52</v>
      </c>
      <c r="E282" t="s">
        <v>35</v>
      </c>
      <c r="F282" s="3">
        <v>904.86</v>
      </c>
      <c r="G282" t="s">
        <v>49</v>
      </c>
      <c r="H282" t="s">
        <v>58</v>
      </c>
      <c r="I282">
        <v>45</v>
      </c>
      <c r="J282" s="2">
        <v>46168</v>
      </c>
      <c r="K282" t="s">
        <v>50</v>
      </c>
      <c r="L282" s="2">
        <v>46177</v>
      </c>
      <c r="M282" s="3">
        <v>904.86</v>
      </c>
      <c r="N282" s="3">
        <v>0</v>
      </c>
      <c r="O282">
        <v>0</v>
      </c>
      <c r="P282" t="s">
        <v>314</v>
      </c>
    </row>
    <row r="283" spans="1:16">
      <c r="A283" s="2">
        <v>46123</v>
      </c>
      <c r="B283" t="s">
        <v>351</v>
      </c>
      <c r="C283" t="s">
        <v>56</v>
      </c>
      <c r="D283" t="s">
        <v>34</v>
      </c>
      <c r="E283" t="s">
        <v>48</v>
      </c>
      <c r="F283" s="3">
        <v>1921.76</v>
      </c>
      <c r="G283" t="s">
        <v>49</v>
      </c>
      <c r="H283" t="s">
        <v>37</v>
      </c>
      <c r="I283">
        <v>45</v>
      </c>
      <c r="J283" s="2">
        <v>46168</v>
      </c>
      <c r="K283" t="s">
        <v>50</v>
      </c>
      <c r="L283" s="2">
        <v>46179</v>
      </c>
      <c r="M283" s="3">
        <v>1921.76</v>
      </c>
      <c r="N283" s="3">
        <v>0</v>
      </c>
      <c r="O283">
        <v>0</v>
      </c>
      <c r="P283" t="s">
        <v>314</v>
      </c>
    </row>
    <row r="284" spans="1:16">
      <c r="A284" s="2">
        <v>46123</v>
      </c>
      <c r="B284" t="s">
        <v>352</v>
      </c>
      <c r="C284" t="s">
        <v>84</v>
      </c>
      <c r="D284" t="s">
        <v>34</v>
      </c>
      <c r="E284" t="s">
        <v>48</v>
      </c>
      <c r="F284" s="3">
        <v>1196.28</v>
      </c>
      <c r="G284" t="s">
        <v>49</v>
      </c>
      <c r="H284" t="s">
        <v>37</v>
      </c>
      <c r="I284">
        <v>30</v>
      </c>
      <c r="J284" s="2">
        <v>46153</v>
      </c>
      <c r="K284" t="s">
        <v>50</v>
      </c>
      <c r="L284" s="2">
        <v>46164</v>
      </c>
      <c r="M284" s="3">
        <v>1196.28</v>
      </c>
      <c r="N284" s="3">
        <v>0</v>
      </c>
      <c r="O284">
        <v>0</v>
      </c>
      <c r="P284" t="s">
        <v>314</v>
      </c>
    </row>
    <row r="285" spans="1:16">
      <c r="A285" s="2">
        <v>46123</v>
      </c>
      <c r="B285" t="s">
        <v>353</v>
      </c>
      <c r="C285" t="s">
        <v>90</v>
      </c>
      <c r="D285" t="s">
        <v>52</v>
      </c>
      <c r="E285" t="s">
        <v>57</v>
      </c>
      <c r="F285" s="3">
        <v>1497.99</v>
      </c>
      <c r="G285" t="s">
        <v>36</v>
      </c>
      <c r="H285" t="s">
        <v>69</v>
      </c>
      <c r="I285">
        <v>30</v>
      </c>
      <c r="J285" s="2">
        <v>46153</v>
      </c>
      <c r="K285" t="s">
        <v>50</v>
      </c>
      <c r="L285" s="2">
        <v>46153</v>
      </c>
      <c r="M285" s="3">
        <v>1497.99</v>
      </c>
      <c r="N285" s="3">
        <v>0</v>
      </c>
      <c r="O285">
        <v>0</v>
      </c>
      <c r="P285" t="s">
        <v>314</v>
      </c>
    </row>
    <row r="286" spans="1:16">
      <c r="A286" s="2">
        <v>46123</v>
      </c>
      <c r="B286" t="s">
        <v>354</v>
      </c>
      <c r="C286" t="s">
        <v>56</v>
      </c>
      <c r="D286" t="s">
        <v>52</v>
      </c>
      <c r="E286" t="s">
        <v>43</v>
      </c>
      <c r="F286" s="3">
        <v>1800.45</v>
      </c>
      <c r="G286" t="s">
        <v>71</v>
      </c>
      <c r="H286" t="s">
        <v>45</v>
      </c>
      <c r="I286">
        <v>15</v>
      </c>
      <c r="J286" s="2">
        <v>46138</v>
      </c>
      <c r="K286" t="s">
        <v>38</v>
      </c>
      <c r="L286" s="2"/>
      <c r="M286" s="3">
        <v>0</v>
      </c>
      <c r="N286" s="3">
        <v>1800.45</v>
      </c>
      <c r="O286">
        <v>0</v>
      </c>
      <c r="P286" t="s">
        <v>314</v>
      </c>
    </row>
    <row r="287" spans="1:16">
      <c r="A287" s="2">
        <v>46125</v>
      </c>
      <c r="B287" t="s">
        <v>355</v>
      </c>
      <c r="C287" t="s">
        <v>56</v>
      </c>
      <c r="D287" t="s">
        <v>42</v>
      </c>
      <c r="E287" t="s">
        <v>57</v>
      </c>
      <c r="F287" s="3">
        <v>1630.3</v>
      </c>
      <c r="G287" t="s">
        <v>44</v>
      </c>
      <c r="H287" t="s">
        <v>62</v>
      </c>
      <c r="I287">
        <v>30</v>
      </c>
      <c r="J287" s="2">
        <v>46155</v>
      </c>
      <c r="K287" t="s">
        <v>50</v>
      </c>
      <c r="L287" s="2">
        <v>46163</v>
      </c>
      <c r="M287" s="3">
        <v>1630.3</v>
      </c>
      <c r="N287" s="3">
        <v>0</v>
      </c>
      <c r="O287">
        <v>0</v>
      </c>
      <c r="P287" t="s">
        <v>314</v>
      </c>
    </row>
    <row r="288" spans="1:16">
      <c r="A288" s="2">
        <v>46125</v>
      </c>
      <c r="B288" t="s">
        <v>356</v>
      </c>
      <c r="C288" t="s">
        <v>80</v>
      </c>
      <c r="D288" t="s">
        <v>52</v>
      </c>
      <c r="E288" t="s">
        <v>57</v>
      </c>
      <c r="F288" s="3">
        <v>960.6</v>
      </c>
      <c r="G288" t="s">
        <v>36</v>
      </c>
      <c r="H288" t="s">
        <v>66</v>
      </c>
      <c r="I288">
        <v>30</v>
      </c>
      <c r="J288" s="2">
        <v>46155</v>
      </c>
      <c r="K288" t="s">
        <v>50</v>
      </c>
      <c r="L288" s="2">
        <v>46161</v>
      </c>
      <c r="M288" s="3">
        <v>960.6</v>
      </c>
      <c r="N288" s="3">
        <v>0</v>
      </c>
      <c r="O288">
        <v>0</v>
      </c>
      <c r="P288" t="s">
        <v>314</v>
      </c>
    </row>
    <row r="289" spans="1:16">
      <c r="A289" s="2">
        <v>46125</v>
      </c>
      <c r="B289" t="s">
        <v>357</v>
      </c>
      <c r="C289" t="s">
        <v>33</v>
      </c>
      <c r="D289" t="s">
        <v>52</v>
      </c>
      <c r="E289" t="s">
        <v>35</v>
      </c>
      <c r="F289" s="3">
        <v>2458.4899999999998</v>
      </c>
      <c r="G289" t="s">
        <v>44</v>
      </c>
      <c r="H289" t="s">
        <v>66</v>
      </c>
      <c r="I289">
        <v>30</v>
      </c>
      <c r="J289" s="2">
        <v>46155</v>
      </c>
      <c r="K289" t="s">
        <v>50</v>
      </c>
      <c r="L289" s="2">
        <v>46158</v>
      </c>
      <c r="M289" s="3">
        <v>2458.4899999999998</v>
      </c>
      <c r="N289" s="3">
        <v>0</v>
      </c>
      <c r="O289">
        <v>0</v>
      </c>
      <c r="P289" t="s">
        <v>314</v>
      </c>
    </row>
    <row r="290" spans="1:16">
      <c r="A290" s="2">
        <v>46125</v>
      </c>
      <c r="B290" t="s">
        <v>358</v>
      </c>
      <c r="C290" t="s">
        <v>47</v>
      </c>
      <c r="D290" t="s">
        <v>34</v>
      </c>
      <c r="E290" t="s">
        <v>57</v>
      </c>
      <c r="F290" s="3">
        <v>902.55</v>
      </c>
      <c r="G290" t="s">
        <v>49</v>
      </c>
      <c r="H290" t="s">
        <v>62</v>
      </c>
      <c r="I290">
        <v>7</v>
      </c>
      <c r="J290" s="2">
        <v>46132</v>
      </c>
      <c r="K290" t="s">
        <v>50</v>
      </c>
      <c r="L290" s="2">
        <v>46134</v>
      </c>
      <c r="M290" s="3">
        <v>902.55</v>
      </c>
      <c r="N290" s="3">
        <v>0</v>
      </c>
      <c r="O290">
        <v>0</v>
      </c>
      <c r="P290" t="s">
        <v>314</v>
      </c>
    </row>
    <row r="291" spans="1:16">
      <c r="A291" s="2">
        <v>46125</v>
      </c>
      <c r="B291" t="s">
        <v>359</v>
      </c>
      <c r="C291" t="s">
        <v>82</v>
      </c>
      <c r="D291" t="s">
        <v>34</v>
      </c>
      <c r="E291" t="s">
        <v>48</v>
      </c>
      <c r="F291" s="3">
        <v>861.74</v>
      </c>
      <c r="G291" t="s">
        <v>49</v>
      </c>
      <c r="H291" t="s">
        <v>69</v>
      </c>
      <c r="I291">
        <v>30</v>
      </c>
      <c r="J291" s="2">
        <v>46155</v>
      </c>
      <c r="K291" t="s">
        <v>50</v>
      </c>
      <c r="L291" s="2">
        <v>46162</v>
      </c>
      <c r="M291" s="3">
        <v>861.74</v>
      </c>
      <c r="N291" s="3">
        <v>0</v>
      </c>
      <c r="O291">
        <v>0</v>
      </c>
      <c r="P291" t="s">
        <v>314</v>
      </c>
    </row>
    <row r="292" spans="1:16">
      <c r="A292" s="2">
        <v>46126</v>
      </c>
      <c r="B292" t="s">
        <v>360</v>
      </c>
      <c r="C292" t="s">
        <v>84</v>
      </c>
      <c r="D292" t="s">
        <v>34</v>
      </c>
      <c r="E292" t="s">
        <v>53</v>
      </c>
      <c r="F292" s="3">
        <v>966.14</v>
      </c>
      <c r="G292" t="s">
        <v>36</v>
      </c>
      <c r="H292" t="s">
        <v>37</v>
      </c>
      <c r="I292">
        <v>30</v>
      </c>
      <c r="J292" s="2">
        <v>46156</v>
      </c>
      <c r="K292" t="s">
        <v>50</v>
      </c>
      <c r="L292" s="2">
        <v>46161</v>
      </c>
      <c r="M292" s="3">
        <v>966.14</v>
      </c>
      <c r="N292" s="3">
        <v>0</v>
      </c>
      <c r="O292">
        <v>0</v>
      </c>
      <c r="P292" t="s">
        <v>314</v>
      </c>
    </row>
    <row r="293" spans="1:16">
      <c r="A293" s="2">
        <v>46126</v>
      </c>
      <c r="B293" t="s">
        <v>361</v>
      </c>
      <c r="C293" t="s">
        <v>82</v>
      </c>
      <c r="D293" t="s">
        <v>42</v>
      </c>
      <c r="E293" t="s">
        <v>53</v>
      </c>
      <c r="F293" s="3">
        <v>781.72</v>
      </c>
      <c r="G293" t="s">
        <v>71</v>
      </c>
      <c r="H293" t="s">
        <v>58</v>
      </c>
      <c r="I293">
        <v>30</v>
      </c>
      <c r="J293" s="2">
        <v>46156</v>
      </c>
      <c r="K293" t="s">
        <v>50</v>
      </c>
      <c r="L293" s="2">
        <v>46165</v>
      </c>
      <c r="M293" s="3">
        <v>781.72</v>
      </c>
      <c r="N293" s="3">
        <v>0</v>
      </c>
      <c r="O293">
        <v>0</v>
      </c>
      <c r="P293" t="s">
        <v>314</v>
      </c>
    </row>
    <row r="294" spans="1:16">
      <c r="A294" s="2">
        <v>46126</v>
      </c>
      <c r="B294" t="s">
        <v>362</v>
      </c>
      <c r="C294" t="s">
        <v>84</v>
      </c>
      <c r="D294" t="s">
        <v>34</v>
      </c>
      <c r="E294" t="s">
        <v>53</v>
      </c>
      <c r="F294" s="3">
        <v>5099.79</v>
      </c>
      <c r="G294" t="s">
        <v>71</v>
      </c>
      <c r="H294" t="s">
        <v>37</v>
      </c>
      <c r="I294">
        <v>45</v>
      </c>
      <c r="J294" s="2">
        <v>46171</v>
      </c>
      <c r="K294" t="s">
        <v>50</v>
      </c>
      <c r="L294" s="2">
        <v>46176</v>
      </c>
      <c r="M294" s="3">
        <v>5099.79</v>
      </c>
      <c r="N294" s="3">
        <v>0</v>
      </c>
      <c r="O294">
        <v>0</v>
      </c>
      <c r="P294" t="s">
        <v>314</v>
      </c>
    </row>
    <row r="295" spans="1:16">
      <c r="A295" s="2">
        <v>46126</v>
      </c>
      <c r="B295" t="s">
        <v>363</v>
      </c>
      <c r="C295" t="s">
        <v>56</v>
      </c>
      <c r="D295" t="s">
        <v>65</v>
      </c>
      <c r="E295" t="s">
        <v>43</v>
      </c>
      <c r="F295" s="3">
        <v>3172.02</v>
      </c>
      <c r="G295" t="s">
        <v>71</v>
      </c>
      <c r="H295" t="s">
        <v>69</v>
      </c>
      <c r="I295">
        <v>15</v>
      </c>
      <c r="J295" s="2">
        <v>46141</v>
      </c>
      <c r="K295" t="s">
        <v>50</v>
      </c>
      <c r="L295" s="2">
        <v>46144</v>
      </c>
      <c r="M295" s="3">
        <v>3172.02</v>
      </c>
      <c r="N295" s="3">
        <v>0</v>
      </c>
      <c r="O295">
        <v>0</v>
      </c>
      <c r="P295" t="s">
        <v>314</v>
      </c>
    </row>
    <row r="296" spans="1:16">
      <c r="A296" s="2">
        <v>46126</v>
      </c>
      <c r="B296" t="s">
        <v>364</v>
      </c>
      <c r="C296" t="s">
        <v>47</v>
      </c>
      <c r="D296" t="s">
        <v>34</v>
      </c>
      <c r="E296" t="s">
        <v>43</v>
      </c>
      <c r="F296" s="3">
        <v>6857.27</v>
      </c>
      <c r="G296" t="s">
        <v>44</v>
      </c>
      <c r="H296" t="s">
        <v>62</v>
      </c>
      <c r="I296">
        <v>15</v>
      </c>
      <c r="J296" s="2">
        <v>46141</v>
      </c>
      <c r="K296" t="s">
        <v>50</v>
      </c>
      <c r="L296" s="2">
        <v>46148</v>
      </c>
      <c r="M296" s="3">
        <v>6857.27</v>
      </c>
      <c r="N296" s="3">
        <v>0</v>
      </c>
      <c r="O296">
        <v>0</v>
      </c>
      <c r="P296" t="s">
        <v>314</v>
      </c>
    </row>
    <row r="297" spans="1:16">
      <c r="A297" s="2">
        <v>46126</v>
      </c>
      <c r="B297" t="s">
        <v>365</v>
      </c>
      <c r="C297" t="s">
        <v>47</v>
      </c>
      <c r="D297" t="s">
        <v>52</v>
      </c>
      <c r="E297" t="s">
        <v>57</v>
      </c>
      <c r="F297" s="3">
        <v>3541.85</v>
      </c>
      <c r="G297" t="s">
        <v>44</v>
      </c>
      <c r="H297" t="s">
        <v>58</v>
      </c>
      <c r="I297">
        <v>7</v>
      </c>
      <c r="J297" s="2">
        <v>46133</v>
      </c>
      <c r="K297" t="s">
        <v>50</v>
      </c>
      <c r="L297" s="2">
        <v>46142</v>
      </c>
      <c r="M297" s="3">
        <v>3541.85</v>
      </c>
      <c r="N297" s="3">
        <v>0</v>
      </c>
      <c r="O297">
        <v>0</v>
      </c>
      <c r="P297" t="s">
        <v>314</v>
      </c>
    </row>
    <row r="298" spans="1:16">
      <c r="A298" s="2">
        <v>46126</v>
      </c>
      <c r="B298" t="s">
        <v>366</v>
      </c>
      <c r="C298" t="s">
        <v>84</v>
      </c>
      <c r="D298" t="s">
        <v>42</v>
      </c>
      <c r="E298" t="s">
        <v>43</v>
      </c>
      <c r="F298" s="3">
        <v>1132.3399999999999</v>
      </c>
      <c r="G298" t="s">
        <v>71</v>
      </c>
      <c r="H298" t="s">
        <v>66</v>
      </c>
      <c r="I298">
        <v>15</v>
      </c>
      <c r="J298" s="2">
        <v>46141</v>
      </c>
      <c r="K298" t="s">
        <v>50</v>
      </c>
      <c r="L298" s="2">
        <v>46149</v>
      </c>
      <c r="M298" s="3">
        <v>1132.3399999999999</v>
      </c>
      <c r="N298" s="3">
        <v>0</v>
      </c>
      <c r="O298">
        <v>0</v>
      </c>
      <c r="P298" t="s">
        <v>314</v>
      </c>
    </row>
    <row r="299" spans="1:16">
      <c r="A299" s="2">
        <v>46128</v>
      </c>
      <c r="B299" t="s">
        <v>367</v>
      </c>
      <c r="C299" t="s">
        <v>41</v>
      </c>
      <c r="D299" t="s">
        <v>52</v>
      </c>
      <c r="E299" t="s">
        <v>53</v>
      </c>
      <c r="F299" s="3">
        <v>531.85</v>
      </c>
      <c r="G299" t="s">
        <v>49</v>
      </c>
      <c r="H299" t="s">
        <v>37</v>
      </c>
      <c r="I299">
        <v>30</v>
      </c>
      <c r="J299" s="2">
        <v>46158</v>
      </c>
      <c r="K299" t="s">
        <v>50</v>
      </c>
      <c r="L299" s="2">
        <v>46162</v>
      </c>
      <c r="M299" s="3">
        <v>531.85</v>
      </c>
      <c r="N299" s="3">
        <v>0</v>
      </c>
      <c r="O299">
        <v>0</v>
      </c>
      <c r="P299" t="s">
        <v>314</v>
      </c>
    </row>
    <row r="300" spans="1:16">
      <c r="A300" s="2">
        <v>46128</v>
      </c>
      <c r="B300" t="s">
        <v>368</v>
      </c>
      <c r="C300" t="s">
        <v>33</v>
      </c>
      <c r="D300" t="s">
        <v>52</v>
      </c>
      <c r="E300" t="s">
        <v>35</v>
      </c>
      <c r="F300" s="3">
        <v>1512.96</v>
      </c>
      <c r="G300" t="s">
        <v>36</v>
      </c>
      <c r="H300" t="s">
        <v>45</v>
      </c>
      <c r="I300">
        <v>30</v>
      </c>
      <c r="J300" s="2">
        <v>46158</v>
      </c>
      <c r="K300" t="s">
        <v>38</v>
      </c>
      <c r="L300" s="2"/>
      <c r="M300" s="3">
        <v>0</v>
      </c>
      <c r="N300" s="3">
        <v>1512.96</v>
      </c>
      <c r="O300">
        <v>0</v>
      </c>
      <c r="P300" t="s">
        <v>314</v>
      </c>
    </row>
    <row r="301" spans="1:16">
      <c r="A301" s="2">
        <v>46129</v>
      </c>
      <c r="B301" t="s">
        <v>369</v>
      </c>
      <c r="C301" t="s">
        <v>68</v>
      </c>
      <c r="D301" t="s">
        <v>42</v>
      </c>
      <c r="E301" t="s">
        <v>53</v>
      </c>
      <c r="F301" s="3">
        <v>1087.3499999999999</v>
      </c>
      <c r="G301" t="s">
        <v>44</v>
      </c>
      <c r="H301" t="s">
        <v>58</v>
      </c>
      <c r="I301">
        <v>7</v>
      </c>
      <c r="J301" s="2">
        <v>46136</v>
      </c>
      <c r="K301" t="s">
        <v>50</v>
      </c>
      <c r="L301" s="2">
        <v>46145</v>
      </c>
      <c r="M301" s="3">
        <v>1087.3499999999999</v>
      </c>
      <c r="N301" s="3">
        <v>0</v>
      </c>
      <c r="O301">
        <v>0</v>
      </c>
      <c r="P301" t="s">
        <v>314</v>
      </c>
    </row>
    <row r="302" spans="1:16">
      <c r="A302" s="2">
        <v>46130</v>
      </c>
      <c r="B302" t="s">
        <v>370</v>
      </c>
      <c r="C302" t="s">
        <v>64</v>
      </c>
      <c r="D302" t="s">
        <v>42</v>
      </c>
      <c r="E302" t="s">
        <v>53</v>
      </c>
      <c r="F302" s="3">
        <v>2897.43</v>
      </c>
      <c r="G302" t="s">
        <v>36</v>
      </c>
      <c r="H302" t="s">
        <v>69</v>
      </c>
      <c r="I302">
        <v>30</v>
      </c>
      <c r="J302" s="2">
        <v>46160</v>
      </c>
      <c r="K302" t="s">
        <v>50</v>
      </c>
      <c r="L302" s="2">
        <v>46163</v>
      </c>
      <c r="M302" s="3">
        <v>2897.43</v>
      </c>
      <c r="N302" s="3">
        <v>0</v>
      </c>
      <c r="O302">
        <v>0</v>
      </c>
      <c r="P302" t="s">
        <v>314</v>
      </c>
    </row>
    <row r="303" spans="1:16">
      <c r="A303" s="2">
        <v>46130</v>
      </c>
      <c r="B303" t="s">
        <v>371</v>
      </c>
      <c r="C303" t="s">
        <v>82</v>
      </c>
      <c r="D303" t="s">
        <v>65</v>
      </c>
      <c r="E303" t="s">
        <v>43</v>
      </c>
      <c r="F303" s="3">
        <v>910.06</v>
      </c>
      <c r="G303" t="s">
        <v>49</v>
      </c>
      <c r="H303" t="s">
        <v>45</v>
      </c>
      <c r="I303">
        <v>30</v>
      </c>
      <c r="J303" s="2">
        <v>46160</v>
      </c>
      <c r="K303" t="s">
        <v>38</v>
      </c>
      <c r="L303" s="2"/>
      <c r="M303" s="3">
        <v>0</v>
      </c>
      <c r="N303" s="3">
        <v>910.06</v>
      </c>
      <c r="O303">
        <v>0</v>
      </c>
      <c r="P303" t="s">
        <v>314</v>
      </c>
    </row>
    <row r="304" spans="1:16">
      <c r="A304" s="2">
        <v>46130</v>
      </c>
      <c r="B304" t="s">
        <v>372</v>
      </c>
      <c r="C304" t="s">
        <v>56</v>
      </c>
      <c r="D304" t="s">
        <v>52</v>
      </c>
      <c r="E304" t="s">
        <v>53</v>
      </c>
      <c r="F304" s="3">
        <v>4396.6000000000004</v>
      </c>
      <c r="G304" t="s">
        <v>71</v>
      </c>
      <c r="H304" t="s">
        <v>45</v>
      </c>
      <c r="I304">
        <v>30</v>
      </c>
      <c r="J304" s="2">
        <v>46160</v>
      </c>
      <c r="K304" t="s">
        <v>50</v>
      </c>
      <c r="L304" s="2">
        <v>46160</v>
      </c>
      <c r="M304" s="3">
        <v>4396.6000000000004</v>
      </c>
      <c r="N304" s="3">
        <v>0</v>
      </c>
      <c r="O304">
        <v>0</v>
      </c>
      <c r="P304" t="s">
        <v>314</v>
      </c>
    </row>
    <row r="305" spans="1:16">
      <c r="A305" s="2">
        <v>46131</v>
      </c>
      <c r="B305" t="s">
        <v>373</v>
      </c>
      <c r="C305" t="s">
        <v>64</v>
      </c>
      <c r="D305" t="s">
        <v>65</v>
      </c>
      <c r="E305" t="s">
        <v>57</v>
      </c>
      <c r="F305" s="3">
        <v>2207.87</v>
      </c>
      <c r="G305" t="s">
        <v>36</v>
      </c>
      <c r="H305" t="s">
        <v>62</v>
      </c>
      <c r="I305">
        <v>15</v>
      </c>
      <c r="J305" s="2">
        <v>46146</v>
      </c>
      <c r="K305" t="s">
        <v>38</v>
      </c>
      <c r="L305" s="2"/>
      <c r="M305" s="3">
        <v>0</v>
      </c>
      <c r="N305" s="3">
        <v>2207.87</v>
      </c>
      <c r="O305">
        <v>0</v>
      </c>
      <c r="P305" t="s">
        <v>314</v>
      </c>
    </row>
    <row r="306" spans="1:16">
      <c r="A306" s="2">
        <v>46131</v>
      </c>
      <c r="B306" t="s">
        <v>374</v>
      </c>
      <c r="C306" t="s">
        <v>64</v>
      </c>
      <c r="D306" t="s">
        <v>42</v>
      </c>
      <c r="E306" t="s">
        <v>43</v>
      </c>
      <c r="F306" s="3">
        <v>4813.28</v>
      </c>
      <c r="G306" t="s">
        <v>71</v>
      </c>
      <c r="H306" t="s">
        <v>37</v>
      </c>
      <c r="I306">
        <v>15</v>
      </c>
      <c r="J306" s="2">
        <v>46146</v>
      </c>
      <c r="K306" t="s">
        <v>50</v>
      </c>
      <c r="L306" s="2">
        <v>46154</v>
      </c>
      <c r="M306" s="3">
        <v>4813.28</v>
      </c>
      <c r="N306" s="3">
        <v>0</v>
      </c>
      <c r="O306">
        <v>0</v>
      </c>
      <c r="P306" t="s">
        <v>314</v>
      </c>
    </row>
    <row r="307" spans="1:16">
      <c r="A307" s="2">
        <v>46132</v>
      </c>
      <c r="B307" t="s">
        <v>375</v>
      </c>
      <c r="C307" t="s">
        <v>47</v>
      </c>
      <c r="D307" t="s">
        <v>52</v>
      </c>
      <c r="E307" t="s">
        <v>57</v>
      </c>
      <c r="F307" s="3">
        <v>987.12</v>
      </c>
      <c r="G307" t="s">
        <v>44</v>
      </c>
      <c r="H307" t="s">
        <v>58</v>
      </c>
      <c r="I307">
        <v>45</v>
      </c>
      <c r="J307" s="2">
        <v>46177</v>
      </c>
      <c r="K307" t="s">
        <v>38</v>
      </c>
      <c r="L307" s="2"/>
      <c r="M307" s="3">
        <v>0</v>
      </c>
      <c r="N307" s="3">
        <v>987.12</v>
      </c>
      <c r="O307">
        <v>0</v>
      </c>
      <c r="P307" t="s">
        <v>314</v>
      </c>
    </row>
    <row r="308" spans="1:16">
      <c r="A308" s="2">
        <v>46133</v>
      </c>
      <c r="B308" t="s">
        <v>376</v>
      </c>
      <c r="C308" t="s">
        <v>82</v>
      </c>
      <c r="D308" t="s">
        <v>34</v>
      </c>
      <c r="E308" t="s">
        <v>35</v>
      </c>
      <c r="F308" s="3">
        <v>758.42</v>
      </c>
      <c r="G308" t="s">
        <v>44</v>
      </c>
      <c r="H308" t="s">
        <v>66</v>
      </c>
      <c r="I308">
        <v>15</v>
      </c>
      <c r="J308" s="2">
        <v>46148</v>
      </c>
      <c r="K308" t="s">
        <v>50</v>
      </c>
      <c r="L308" s="2">
        <v>46152</v>
      </c>
      <c r="M308" s="3">
        <v>758.42</v>
      </c>
      <c r="N308" s="3">
        <v>0</v>
      </c>
      <c r="O308">
        <v>0</v>
      </c>
      <c r="P308" t="s">
        <v>314</v>
      </c>
    </row>
    <row r="309" spans="1:16">
      <c r="A309" s="2">
        <v>46133</v>
      </c>
      <c r="B309" t="s">
        <v>377</v>
      </c>
      <c r="C309" t="s">
        <v>74</v>
      </c>
      <c r="D309" t="s">
        <v>65</v>
      </c>
      <c r="E309" t="s">
        <v>48</v>
      </c>
      <c r="F309" s="3">
        <v>1631.83</v>
      </c>
      <c r="G309" t="s">
        <v>49</v>
      </c>
      <c r="H309" t="s">
        <v>66</v>
      </c>
      <c r="I309">
        <v>30</v>
      </c>
      <c r="J309" s="2">
        <v>46163</v>
      </c>
      <c r="K309" t="s">
        <v>50</v>
      </c>
      <c r="L309" s="2">
        <v>46172</v>
      </c>
      <c r="M309" s="3">
        <v>1631.83</v>
      </c>
      <c r="N309" s="3">
        <v>0</v>
      </c>
      <c r="O309">
        <v>0</v>
      </c>
      <c r="P309" t="s">
        <v>314</v>
      </c>
    </row>
    <row r="310" spans="1:16">
      <c r="A310" s="2">
        <v>46133</v>
      </c>
      <c r="B310" t="s">
        <v>378</v>
      </c>
      <c r="C310" t="s">
        <v>80</v>
      </c>
      <c r="D310" t="s">
        <v>42</v>
      </c>
      <c r="E310" t="s">
        <v>35</v>
      </c>
      <c r="F310" s="3">
        <v>2712.53</v>
      </c>
      <c r="G310" t="s">
        <v>36</v>
      </c>
      <c r="H310" t="s">
        <v>66</v>
      </c>
      <c r="I310">
        <v>15</v>
      </c>
      <c r="J310" s="2">
        <v>46148</v>
      </c>
      <c r="K310" t="s">
        <v>50</v>
      </c>
      <c r="L310" s="2">
        <v>46153</v>
      </c>
      <c r="M310" s="3">
        <v>2712.53</v>
      </c>
      <c r="N310" s="3">
        <v>0</v>
      </c>
      <c r="O310">
        <v>0</v>
      </c>
      <c r="P310" t="s">
        <v>314</v>
      </c>
    </row>
    <row r="311" spans="1:16">
      <c r="A311" s="2">
        <v>46134</v>
      </c>
      <c r="B311" t="s">
        <v>379</v>
      </c>
      <c r="C311" t="s">
        <v>41</v>
      </c>
      <c r="D311" t="s">
        <v>34</v>
      </c>
      <c r="E311" t="s">
        <v>57</v>
      </c>
      <c r="F311" s="3">
        <v>935.1</v>
      </c>
      <c r="G311" t="s">
        <v>44</v>
      </c>
      <c r="H311" t="s">
        <v>66</v>
      </c>
      <c r="I311">
        <v>7</v>
      </c>
      <c r="J311" s="2">
        <v>46141</v>
      </c>
      <c r="K311" t="s">
        <v>72</v>
      </c>
      <c r="L311" s="2"/>
      <c r="M311" s="3">
        <v>0</v>
      </c>
      <c r="N311" s="3">
        <v>935.1</v>
      </c>
      <c r="O311">
        <v>117</v>
      </c>
      <c r="P311" t="s">
        <v>314</v>
      </c>
    </row>
    <row r="312" spans="1:16">
      <c r="A312" s="2">
        <v>46134</v>
      </c>
      <c r="B312" t="s">
        <v>380</v>
      </c>
      <c r="C312" t="s">
        <v>82</v>
      </c>
      <c r="D312" t="s">
        <v>65</v>
      </c>
      <c r="E312" t="s">
        <v>43</v>
      </c>
      <c r="F312" s="3">
        <v>731.38</v>
      </c>
      <c r="G312" t="s">
        <v>49</v>
      </c>
      <c r="H312" t="s">
        <v>45</v>
      </c>
      <c r="I312">
        <v>15</v>
      </c>
      <c r="J312" s="2">
        <v>46149</v>
      </c>
      <c r="K312" t="s">
        <v>38</v>
      </c>
      <c r="L312" s="2"/>
      <c r="M312" s="3">
        <v>0</v>
      </c>
      <c r="N312" s="3">
        <v>731.38</v>
      </c>
      <c r="O312">
        <v>0</v>
      </c>
      <c r="P312" t="s">
        <v>314</v>
      </c>
    </row>
    <row r="313" spans="1:16">
      <c r="A313" s="2">
        <v>46135</v>
      </c>
      <c r="B313" t="s">
        <v>381</v>
      </c>
      <c r="C313" t="s">
        <v>47</v>
      </c>
      <c r="D313" t="s">
        <v>42</v>
      </c>
      <c r="E313" t="s">
        <v>48</v>
      </c>
      <c r="F313" s="3">
        <v>1696.47</v>
      </c>
      <c r="G313" t="s">
        <v>44</v>
      </c>
      <c r="H313" t="s">
        <v>62</v>
      </c>
      <c r="I313">
        <v>15</v>
      </c>
      <c r="J313" s="2">
        <v>46150</v>
      </c>
      <c r="K313" t="s">
        <v>50</v>
      </c>
      <c r="L313" s="2">
        <v>46161</v>
      </c>
      <c r="M313" s="3">
        <v>1696.47</v>
      </c>
      <c r="N313" s="3">
        <v>0</v>
      </c>
      <c r="O313">
        <v>0</v>
      </c>
      <c r="P313" t="s">
        <v>314</v>
      </c>
    </row>
    <row r="314" spans="1:16">
      <c r="A314" s="2">
        <v>46135</v>
      </c>
      <c r="B314" t="s">
        <v>382</v>
      </c>
      <c r="C314" t="s">
        <v>56</v>
      </c>
      <c r="D314" t="s">
        <v>34</v>
      </c>
      <c r="E314" t="s">
        <v>43</v>
      </c>
      <c r="F314" s="3">
        <v>1603.74</v>
      </c>
      <c r="G314" t="s">
        <v>44</v>
      </c>
      <c r="H314" t="s">
        <v>45</v>
      </c>
      <c r="I314">
        <v>45</v>
      </c>
      <c r="J314" s="2">
        <v>46180</v>
      </c>
      <c r="K314" t="s">
        <v>38</v>
      </c>
      <c r="L314" s="2"/>
      <c r="M314" s="3">
        <v>0</v>
      </c>
      <c r="N314" s="3">
        <v>1603.74</v>
      </c>
      <c r="O314">
        <v>0</v>
      </c>
      <c r="P314" t="s">
        <v>314</v>
      </c>
    </row>
    <row r="315" spans="1:16">
      <c r="A315" s="2">
        <v>46135</v>
      </c>
      <c r="B315" t="s">
        <v>383</v>
      </c>
      <c r="C315" t="s">
        <v>64</v>
      </c>
      <c r="D315" t="s">
        <v>42</v>
      </c>
      <c r="E315" t="s">
        <v>48</v>
      </c>
      <c r="F315" s="3">
        <v>1149.3800000000001</v>
      </c>
      <c r="G315" t="s">
        <v>36</v>
      </c>
      <c r="H315" t="s">
        <v>69</v>
      </c>
      <c r="I315">
        <v>30</v>
      </c>
      <c r="J315" s="2">
        <v>46165</v>
      </c>
      <c r="K315" t="s">
        <v>50</v>
      </c>
      <c r="L315" s="2">
        <v>46172</v>
      </c>
      <c r="M315" s="3">
        <v>1149.3800000000001</v>
      </c>
      <c r="N315" s="3">
        <v>0</v>
      </c>
      <c r="O315">
        <v>0</v>
      </c>
      <c r="P315" t="s">
        <v>314</v>
      </c>
    </row>
    <row r="316" spans="1:16">
      <c r="A316" s="2">
        <v>46135</v>
      </c>
      <c r="B316" t="s">
        <v>384</v>
      </c>
      <c r="C316" t="s">
        <v>80</v>
      </c>
      <c r="D316" t="s">
        <v>42</v>
      </c>
      <c r="E316" t="s">
        <v>57</v>
      </c>
      <c r="F316" s="3">
        <v>3615.63</v>
      </c>
      <c r="G316" t="s">
        <v>36</v>
      </c>
      <c r="H316" t="s">
        <v>62</v>
      </c>
      <c r="I316">
        <v>45</v>
      </c>
      <c r="J316" s="2">
        <v>46180</v>
      </c>
      <c r="K316" t="s">
        <v>50</v>
      </c>
      <c r="L316" s="2">
        <v>46182</v>
      </c>
      <c r="M316" s="3">
        <v>3615.63</v>
      </c>
      <c r="N316" s="3">
        <v>0</v>
      </c>
      <c r="O316">
        <v>0</v>
      </c>
      <c r="P316" t="s">
        <v>314</v>
      </c>
    </row>
    <row r="317" spans="1:16">
      <c r="A317" s="2">
        <v>46135</v>
      </c>
      <c r="B317" t="s">
        <v>385</v>
      </c>
      <c r="C317" t="s">
        <v>68</v>
      </c>
      <c r="D317" t="s">
        <v>34</v>
      </c>
      <c r="E317" t="s">
        <v>43</v>
      </c>
      <c r="F317" s="3">
        <v>890.56</v>
      </c>
      <c r="G317" t="s">
        <v>36</v>
      </c>
      <c r="H317" t="s">
        <v>58</v>
      </c>
      <c r="I317">
        <v>30</v>
      </c>
      <c r="J317" s="2">
        <v>46165</v>
      </c>
      <c r="K317" t="s">
        <v>50</v>
      </c>
      <c r="L317" s="2">
        <v>46167</v>
      </c>
      <c r="M317" s="3">
        <v>890.56</v>
      </c>
      <c r="N317" s="3">
        <v>0</v>
      </c>
      <c r="O317">
        <v>0</v>
      </c>
      <c r="P317" t="s">
        <v>314</v>
      </c>
    </row>
    <row r="318" spans="1:16">
      <c r="A318" s="2">
        <v>46135</v>
      </c>
      <c r="B318" t="s">
        <v>386</v>
      </c>
      <c r="C318" t="s">
        <v>68</v>
      </c>
      <c r="D318" t="s">
        <v>65</v>
      </c>
      <c r="E318" t="s">
        <v>48</v>
      </c>
      <c r="F318" s="3">
        <v>1122.72</v>
      </c>
      <c r="G318" t="s">
        <v>71</v>
      </c>
      <c r="H318" t="s">
        <v>58</v>
      </c>
      <c r="I318">
        <v>30</v>
      </c>
      <c r="J318" s="2">
        <v>46165</v>
      </c>
      <c r="K318" t="s">
        <v>50</v>
      </c>
      <c r="L318" s="2">
        <v>46173</v>
      </c>
      <c r="M318" s="3">
        <v>1122.72</v>
      </c>
      <c r="N318" s="3">
        <v>0</v>
      </c>
      <c r="O318">
        <v>0</v>
      </c>
      <c r="P318" t="s">
        <v>314</v>
      </c>
    </row>
    <row r="319" spans="1:16">
      <c r="A319" s="2">
        <v>46136</v>
      </c>
      <c r="B319" t="s">
        <v>387</v>
      </c>
      <c r="C319" t="s">
        <v>64</v>
      </c>
      <c r="D319" t="s">
        <v>65</v>
      </c>
      <c r="E319" t="s">
        <v>53</v>
      </c>
      <c r="F319" s="3">
        <v>4715.7</v>
      </c>
      <c r="G319" t="s">
        <v>44</v>
      </c>
      <c r="H319" t="s">
        <v>66</v>
      </c>
      <c r="I319">
        <v>30</v>
      </c>
      <c r="J319" s="2">
        <v>46166</v>
      </c>
      <c r="K319" t="s">
        <v>50</v>
      </c>
      <c r="L319" s="2">
        <v>46174</v>
      </c>
      <c r="M319" s="3">
        <v>4715.7</v>
      </c>
      <c r="N319" s="3">
        <v>0</v>
      </c>
      <c r="O319">
        <v>0</v>
      </c>
      <c r="P319" t="s">
        <v>314</v>
      </c>
    </row>
    <row r="320" spans="1:16">
      <c r="A320" s="2">
        <v>46136</v>
      </c>
      <c r="B320" t="s">
        <v>388</v>
      </c>
      <c r="C320" t="s">
        <v>82</v>
      </c>
      <c r="D320" t="s">
        <v>42</v>
      </c>
      <c r="E320" t="s">
        <v>48</v>
      </c>
      <c r="F320" s="3">
        <v>1069.94</v>
      </c>
      <c r="G320" t="s">
        <v>36</v>
      </c>
      <c r="H320" t="s">
        <v>62</v>
      </c>
      <c r="I320">
        <v>30</v>
      </c>
      <c r="J320" s="2">
        <v>46166</v>
      </c>
      <c r="K320" t="s">
        <v>38</v>
      </c>
      <c r="L320" s="2"/>
      <c r="M320" s="3">
        <v>0</v>
      </c>
      <c r="N320" s="3">
        <v>1069.94</v>
      </c>
      <c r="O320">
        <v>0</v>
      </c>
      <c r="P320" t="s">
        <v>314</v>
      </c>
    </row>
    <row r="321" spans="1:16">
      <c r="A321" s="2">
        <v>46137</v>
      </c>
      <c r="B321" t="s">
        <v>389</v>
      </c>
      <c r="C321" t="s">
        <v>68</v>
      </c>
      <c r="D321" t="s">
        <v>42</v>
      </c>
      <c r="E321" t="s">
        <v>48</v>
      </c>
      <c r="F321" s="3">
        <v>1284.79</v>
      </c>
      <c r="G321" t="s">
        <v>36</v>
      </c>
      <c r="H321" t="s">
        <v>37</v>
      </c>
      <c r="I321">
        <v>30</v>
      </c>
      <c r="J321" s="2">
        <v>46167</v>
      </c>
      <c r="K321" t="s">
        <v>50</v>
      </c>
      <c r="L321" s="2">
        <v>46178</v>
      </c>
      <c r="M321" s="3">
        <v>1284.79</v>
      </c>
      <c r="N321" s="3">
        <v>0</v>
      </c>
      <c r="O321">
        <v>0</v>
      </c>
      <c r="P321" t="s">
        <v>314</v>
      </c>
    </row>
    <row r="322" spans="1:16">
      <c r="A322" s="2">
        <v>46137</v>
      </c>
      <c r="B322" t="s">
        <v>390</v>
      </c>
      <c r="C322" t="s">
        <v>47</v>
      </c>
      <c r="D322" t="s">
        <v>34</v>
      </c>
      <c r="E322" t="s">
        <v>43</v>
      </c>
      <c r="F322" s="3">
        <v>414.2</v>
      </c>
      <c r="G322" t="s">
        <v>49</v>
      </c>
      <c r="H322" t="s">
        <v>58</v>
      </c>
      <c r="I322">
        <v>15</v>
      </c>
      <c r="J322" s="2">
        <v>46152</v>
      </c>
      <c r="K322" t="s">
        <v>50</v>
      </c>
      <c r="L322" s="2">
        <v>46161</v>
      </c>
      <c r="M322" s="3">
        <v>414.2</v>
      </c>
      <c r="N322" s="3">
        <v>0</v>
      </c>
      <c r="O322">
        <v>0</v>
      </c>
      <c r="P322" t="s">
        <v>314</v>
      </c>
    </row>
    <row r="323" spans="1:16">
      <c r="A323" s="2">
        <v>46138</v>
      </c>
      <c r="B323" t="s">
        <v>391</v>
      </c>
      <c r="C323" t="s">
        <v>41</v>
      </c>
      <c r="D323" t="s">
        <v>52</v>
      </c>
      <c r="E323" t="s">
        <v>48</v>
      </c>
      <c r="F323" s="3">
        <v>974.66</v>
      </c>
      <c r="G323" t="s">
        <v>49</v>
      </c>
      <c r="H323" t="s">
        <v>45</v>
      </c>
      <c r="I323">
        <v>7</v>
      </c>
      <c r="J323" s="2">
        <v>46145</v>
      </c>
      <c r="K323" t="s">
        <v>50</v>
      </c>
      <c r="L323" s="2">
        <v>46155</v>
      </c>
      <c r="M323" s="3">
        <v>974.66</v>
      </c>
      <c r="N323" s="3">
        <v>0</v>
      </c>
      <c r="O323">
        <v>0</v>
      </c>
      <c r="P323" t="s">
        <v>314</v>
      </c>
    </row>
    <row r="324" spans="1:16">
      <c r="A324" s="2">
        <v>46138</v>
      </c>
      <c r="B324" t="s">
        <v>392</v>
      </c>
      <c r="C324" t="s">
        <v>61</v>
      </c>
      <c r="D324" t="s">
        <v>65</v>
      </c>
      <c r="E324" t="s">
        <v>57</v>
      </c>
      <c r="F324" s="3">
        <v>987.74</v>
      </c>
      <c r="G324" t="s">
        <v>36</v>
      </c>
      <c r="H324" t="s">
        <v>62</v>
      </c>
      <c r="I324">
        <v>45</v>
      </c>
      <c r="J324" s="2">
        <v>46183</v>
      </c>
      <c r="K324" t="s">
        <v>50</v>
      </c>
      <c r="L324" s="2">
        <v>46190</v>
      </c>
      <c r="M324" s="3">
        <v>987.74</v>
      </c>
      <c r="N324" s="3">
        <v>0</v>
      </c>
      <c r="O324">
        <v>0</v>
      </c>
      <c r="P324" t="s">
        <v>314</v>
      </c>
    </row>
    <row r="325" spans="1:16">
      <c r="A325" s="2">
        <v>46138</v>
      </c>
      <c r="B325" t="s">
        <v>393</v>
      </c>
      <c r="C325" t="s">
        <v>41</v>
      </c>
      <c r="D325" t="s">
        <v>42</v>
      </c>
      <c r="E325" t="s">
        <v>43</v>
      </c>
      <c r="F325" s="3">
        <v>1355.88</v>
      </c>
      <c r="G325" t="s">
        <v>36</v>
      </c>
      <c r="H325" t="s">
        <v>62</v>
      </c>
      <c r="I325">
        <v>30</v>
      </c>
      <c r="J325" s="2">
        <v>46168</v>
      </c>
      <c r="K325" t="s">
        <v>50</v>
      </c>
      <c r="L325" s="2">
        <v>46174</v>
      </c>
      <c r="M325" s="3">
        <v>1355.88</v>
      </c>
      <c r="N325" s="3">
        <v>0</v>
      </c>
      <c r="O325">
        <v>0</v>
      </c>
      <c r="P325" t="s">
        <v>314</v>
      </c>
    </row>
    <row r="326" spans="1:16">
      <c r="A326" s="2">
        <v>46138</v>
      </c>
      <c r="B326" t="s">
        <v>394</v>
      </c>
      <c r="C326" t="s">
        <v>47</v>
      </c>
      <c r="D326" t="s">
        <v>34</v>
      </c>
      <c r="E326" t="s">
        <v>35</v>
      </c>
      <c r="F326" s="3">
        <v>1132.97</v>
      </c>
      <c r="G326" t="s">
        <v>71</v>
      </c>
      <c r="H326" t="s">
        <v>62</v>
      </c>
      <c r="I326">
        <v>15</v>
      </c>
      <c r="J326" s="2">
        <v>46153</v>
      </c>
      <c r="K326" t="s">
        <v>38</v>
      </c>
      <c r="L326" s="2"/>
      <c r="M326" s="3">
        <v>0</v>
      </c>
      <c r="N326" s="3">
        <v>1132.97</v>
      </c>
      <c r="O326">
        <v>0</v>
      </c>
      <c r="P326" t="s">
        <v>314</v>
      </c>
    </row>
    <row r="327" spans="1:16">
      <c r="A327" s="2">
        <v>46138</v>
      </c>
      <c r="B327" t="s">
        <v>395</v>
      </c>
      <c r="C327" t="s">
        <v>64</v>
      </c>
      <c r="D327" t="s">
        <v>34</v>
      </c>
      <c r="E327" t="s">
        <v>48</v>
      </c>
      <c r="F327" s="3">
        <v>510.17</v>
      </c>
      <c r="G327" t="s">
        <v>36</v>
      </c>
      <c r="H327" t="s">
        <v>58</v>
      </c>
      <c r="I327">
        <v>7</v>
      </c>
      <c r="J327" s="2">
        <v>46145</v>
      </c>
      <c r="K327" t="s">
        <v>50</v>
      </c>
      <c r="L327" s="2">
        <v>46155</v>
      </c>
      <c r="M327" s="3">
        <v>510.17</v>
      </c>
      <c r="N327" s="3">
        <v>0</v>
      </c>
      <c r="O327">
        <v>0</v>
      </c>
      <c r="P327" t="s">
        <v>314</v>
      </c>
    </row>
    <row r="328" spans="1:16">
      <c r="A328" s="2">
        <v>46139</v>
      </c>
      <c r="B328" t="s">
        <v>396</v>
      </c>
      <c r="C328" t="s">
        <v>56</v>
      </c>
      <c r="D328" t="s">
        <v>52</v>
      </c>
      <c r="E328" t="s">
        <v>43</v>
      </c>
      <c r="F328" s="3">
        <v>1217.3699999999999</v>
      </c>
      <c r="G328" t="s">
        <v>49</v>
      </c>
      <c r="H328" t="s">
        <v>66</v>
      </c>
      <c r="I328">
        <v>30</v>
      </c>
      <c r="J328" s="2">
        <v>46169</v>
      </c>
      <c r="K328" t="s">
        <v>50</v>
      </c>
      <c r="L328" s="2">
        <v>46174</v>
      </c>
      <c r="M328" s="3">
        <v>1217.3699999999999</v>
      </c>
      <c r="N328" s="3">
        <v>0</v>
      </c>
      <c r="O328">
        <v>0</v>
      </c>
      <c r="P328" t="s">
        <v>314</v>
      </c>
    </row>
    <row r="329" spans="1:16">
      <c r="A329" s="2">
        <v>46139</v>
      </c>
      <c r="B329" t="s">
        <v>397</v>
      </c>
      <c r="C329" t="s">
        <v>33</v>
      </c>
      <c r="D329" t="s">
        <v>52</v>
      </c>
      <c r="E329" t="s">
        <v>57</v>
      </c>
      <c r="F329" s="3">
        <v>1345.37</v>
      </c>
      <c r="G329" t="s">
        <v>49</v>
      </c>
      <c r="H329" t="s">
        <v>66</v>
      </c>
      <c r="I329">
        <v>30</v>
      </c>
      <c r="J329" s="2">
        <v>46169</v>
      </c>
      <c r="K329" t="s">
        <v>50</v>
      </c>
      <c r="L329" s="2">
        <v>46180</v>
      </c>
      <c r="M329" s="3">
        <v>1345.37</v>
      </c>
      <c r="N329" s="3">
        <v>0</v>
      </c>
      <c r="O329">
        <v>0</v>
      </c>
      <c r="P329" t="s">
        <v>314</v>
      </c>
    </row>
    <row r="330" spans="1:16">
      <c r="A330" s="2">
        <v>46139</v>
      </c>
      <c r="B330" t="s">
        <v>398</v>
      </c>
      <c r="C330" t="s">
        <v>74</v>
      </c>
      <c r="D330" t="s">
        <v>65</v>
      </c>
      <c r="E330" t="s">
        <v>57</v>
      </c>
      <c r="F330" s="3">
        <v>898.77</v>
      </c>
      <c r="G330" t="s">
        <v>36</v>
      </c>
      <c r="H330" t="s">
        <v>37</v>
      </c>
      <c r="I330">
        <v>30</v>
      </c>
      <c r="J330" s="2">
        <v>46169</v>
      </c>
      <c r="K330" t="s">
        <v>50</v>
      </c>
      <c r="L330" s="2">
        <v>46176</v>
      </c>
      <c r="M330" s="3">
        <v>898.77</v>
      </c>
      <c r="N330" s="3">
        <v>0</v>
      </c>
      <c r="O330">
        <v>0</v>
      </c>
      <c r="P330" t="s">
        <v>314</v>
      </c>
    </row>
    <row r="331" spans="1:16">
      <c r="A331" s="2">
        <v>46139</v>
      </c>
      <c r="B331" t="s">
        <v>399</v>
      </c>
      <c r="C331" t="s">
        <v>64</v>
      </c>
      <c r="D331" t="s">
        <v>34</v>
      </c>
      <c r="E331" t="s">
        <v>53</v>
      </c>
      <c r="F331" s="3">
        <v>544.55999999999995</v>
      </c>
      <c r="G331" t="s">
        <v>49</v>
      </c>
      <c r="H331" t="s">
        <v>69</v>
      </c>
      <c r="I331">
        <v>30</v>
      </c>
      <c r="J331" s="2">
        <v>46169</v>
      </c>
      <c r="K331" t="s">
        <v>50</v>
      </c>
      <c r="L331" s="2">
        <v>46178</v>
      </c>
      <c r="M331" s="3">
        <v>544.55999999999995</v>
      </c>
      <c r="N331" s="3">
        <v>0</v>
      </c>
      <c r="O331">
        <v>0</v>
      </c>
      <c r="P331" t="s">
        <v>314</v>
      </c>
    </row>
    <row r="332" spans="1:16">
      <c r="A332" s="2">
        <v>46140</v>
      </c>
      <c r="B332" t="s">
        <v>400</v>
      </c>
      <c r="C332" t="s">
        <v>41</v>
      </c>
      <c r="D332" t="s">
        <v>65</v>
      </c>
      <c r="E332" t="s">
        <v>57</v>
      </c>
      <c r="F332" s="3">
        <v>4112.72</v>
      </c>
      <c r="G332" t="s">
        <v>71</v>
      </c>
      <c r="H332" t="s">
        <v>66</v>
      </c>
      <c r="I332">
        <v>30</v>
      </c>
      <c r="J332" s="2">
        <v>46170</v>
      </c>
      <c r="K332" t="s">
        <v>38</v>
      </c>
      <c r="L332" s="2"/>
      <c r="M332" s="3">
        <v>0</v>
      </c>
      <c r="N332" s="3">
        <v>4112.72</v>
      </c>
      <c r="O332">
        <v>0</v>
      </c>
      <c r="P332" t="s">
        <v>314</v>
      </c>
    </row>
    <row r="333" spans="1:16">
      <c r="A333" s="2">
        <v>46140</v>
      </c>
      <c r="B333" t="s">
        <v>401</v>
      </c>
      <c r="C333" t="s">
        <v>64</v>
      </c>
      <c r="D333" t="s">
        <v>42</v>
      </c>
      <c r="E333" t="s">
        <v>48</v>
      </c>
      <c r="F333" s="3">
        <v>1086.3800000000001</v>
      </c>
      <c r="G333" t="s">
        <v>71</v>
      </c>
      <c r="H333" t="s">
        <v>45</v>
      </c>
      <c r="I333">
        <v>15</v>
      </c>
      <c r="J333" s="2">
        <v>46155</v>
      </c>
      <c r="K333" t="s">
        <v>72</v>
      </c>
      <c r="L333" s="2"/>
      <c r="M333" s="3">
        <v>0</v>
      </c>
      <c r="N333" s="3">
        <v>1086.3800000000001</v>
      </c>
      <c r="O333">
        <v>103</v>
      </c>
      <c r="P333" t="s">
        <v>314</v>
      </c>
    </row>
    <row r="334" spans="1:16">
      <c r="A334" s="2">
        <v>46141</v>
      </c>
      <c r="B334" t="s">
        <v>402</v>
      </c>
      <c r="C334" t="s">
        <v>68</v>
      </c>
      <c r="D334" t="s">
        <v>34</v>
      </c>
      <c r="E334" t="s">
        <v>57</v>
      </c>
      <c r="F334" s="3">
        <v>912.62</v>
      </c>
      <c r="G334" t="s">
        <v>71</v>
      </c>
      <c r="H334" t="s">
        <v>62</v>
      </c>
      <c r="I334">
        <v>15</v>
      </c>
      <c r="J334" s="2">
        <v>46156</v>
      </c>
      <c r="K334" t="s">
        <v>50</v>
      </c>
      <c r="L334" s="2">
        <v>46162</v>
      </c>
      <c r="M334" s="3">
        <v>912.62</v>
      </c>
      <c r="N334" s="3">
        <v>0</v>
      </c>
      <c r="O334">
        <v>0</v>
      </c>
      <c r="P334" t="s">
        <v>314</v>
      </c>
    </row>
    <row r="335" spans="1:16">
      <c r="A335" s="2">
        <v>46142</v>
      </c>
      <c r="B335" t="s">
        <v>403</v>
      </c>
      <c r="C335" t="s">
        <v>33</v>
      </c>
      <c r="D335" t="s">
        <v>42</v>
      </c>
      <c r="E335" t="s">
        <v>48</v>
      </c>
      <c r="F335" s="3">
        <v>646.6</v>
      </c>
      <c r="G335" t="s">
        <v>36</v>
      </c>
      <c r="H335" t="s">
        <v>66</v>
      </c>
      <c r="I335">
        <v>15</v>
      </c>
      <c r="J335" s="2">
        <v>46157</v>
      </c>
      <c r="K335" t="s">
        <v>50</v>
      </c>
      <c r="L335" s="2">
        <v>46161</v>
      </c>
      <c r="M335" s="3">
        <v>646.6</v>
      </c>
      <c r="N335" s="3">
        <v>0</v>
      </c>
      <c r="O335">
        <v>0</v>
      </c>
      <c r="P335" t="s">
        <v>314</v>
      </c>
    </row>
    <row r="336" spans="1:16">
      <c r="A336" s="2">
        <v>46142</v>
      </c>
      <c r="B336" t="s">
        <v>404</v>
      </c>
      <c r="C336" t="s">
        <v>90</v>
      </c>
      <c r="D336" t="s">
        <v>42</v>
      </c>
      <c r="E336" t="s">
        <v>43</v>
      </c>
      <c r="F336" s="3">
        <v>2492.02</v>
      </c>
      <c r="G336" t="s">
        <v>36</v>
      </c>
      <c r="H336" t="s">
        <v>66</v>
      </c>
      <c r="I336">
        <v>15</v>
      </c>
      <c r="J336" s="2">
        <v>46157</v>
      </c>
      <c r="K336" t="s">
        <v>50</v>
      </c>
      <c r="L336" s="2">
        <v>46166</v>
      </c>
      <c r="M336" s="3">
        <v>2492.02</v>
      </c>
      <c r="N336" s="3">
        <v>0</v>
      </c>
      <c r="O336">
        <v>0</v>
      </c>
      <c r="P336" t="s">
        <v>314</v>
      </c>
    </row>
    <row r="337" spans="1:16">
      <c r="A337" s="2">
        <v>46143</v>
      </c>
      <c r="B337" t="s">
        <v>405</v>
      </c>
      <c r="C337" t="s">
        <v>41</v>
      </c>
      <c r="D337" t="s">
        <v>42</v>
      </c>
      <c r="E337" t="s">
        <v>43</v>
      </c>
      <c r="F337" s="3">
        <v>1233.2</v>
      </c>
      <c r="G337" t="s">
        <v>36</v>
      </c>
      <c r="H337" t="s">
        <v>58</v>
      </c>
      <c r="I337">
        <v>30</v>
      </c>
      <c r="J337" s="2">
        <v>46173</v>
      </c>
      <c r="K337" t="s">
        <v>38</v>
      </c>
      <c r="L337" s="2"/>
      <c r="M337" s="3">
        <v>0</v>
      </c>
      <c r="N337" s="3">
        <v>1233.2</v>
      </c>
      <c r="O337">
        <v>0</v>
      </c>
      <c r="P337" t="s">
        <v>406</v>
      </c>
    </row>
    <row r="338" spans="1:16">
      <c r="A338" s="2">
        <v>46143</v>
      </c>
      <c r="B338" t="s">
        <v>407</v>
      </c>
      <c r="C338" t="s">
        <v>33</v>
      </c>
      <c r="D338" t="s">
        <v>65</v>
      </c>
      <c r="E338" t="s">
        <v>53</v>
      </c>
      <c r="F338" s="3">
        <v>960.05</v>
      </c>
      <c r="G338" t="s">
        <v>71</v>
      </c>
      <c r="H338" t="s">
        <v>69</v>
      </c>
      <c r="I338">
        <v>7</v>
      </c>
      <c r="J338" s="2">
        <v>46150</v>
      </c>
      <c r="K338" t="s">
        <v>50</v>
      </c>
      <c r="L338" s="2">
        <v>46156</v>
      </c>
      <c r="M338" s="3">
        <v>960.05</v>
      </c>
      <c r="N338" s="3">
        <v>0</v>
      </c>
      <c r="O338">
        <v>0</v>
      </c>
      <c r="P338" t="s">
        <v>406</v>
      </c>
    </row>
    <row r="339" spans="1:16">
      <c r="A339" s="2">
        <v>46144</v>
      </c>
      <c r="B339" t="s">
        <v>408</v>
      </c>
      <c r="C339" t="s">
        <v>33</v>
      </c>
      <c r="D339" t="s">
        <v>42</v>
      </c>
      <c r="E339" t="s">
        <v>57</v>
      </c>
      <c r="F339" s="3">
        <v>455.54</v>
      </c>
      <c r="G339" t="s">
        <v>44</v>
      </c>
      <c r="H339" t="s">
        <v>62</v>
      </c>
      <c r="I339">
        <v>15</v>
      </c>
      <c r="J339" s="2">
        <v>46159</v>
      </c>
      <c r="K339" t="s">
        <v>50</v>
      </c>
      <c r="L339" s="2">
        <v>46159</v>
      </c>
      <c r="M339" s="3">
        <v>455.54</v>
      </c>
      <c r="N339" s="3">
        <v>0</v>
      </c>
      <c r="O339">
        <v>0</v>
      </c>
      <c r="P339" t="s">
        <v>406</v>
      </c>
    </row>
    <row r="340" spans="1:16">
      <c r="A340" s="2">
        <v>46144</v>
      </c>
      <c r="B340" t="s">
        <v>409</v>
      </c>
      <c r="C340" t="s">
        <v>90</v>
      </c>
      <c r="D340" t="s">
        <v>65</v>
      </c>
      <c r="E340" t="s">
        <v>43</v>
      </c>
      <c r="F340" s="3">
        <v>3384.15</v>
      </c>
      <c r="G340" t="s">
        <v>36</v>
      </c>
      <c r="H340" t="s">
        <v>58</v>
      </c>
      <c r="I340">
        <v>15</v>
      </c>
      <c r="J340" s="2">
        <v>46159</v>
      </c>
      <c r="K340" t="s">
        <v>38</v>
      </c>
      <c r="L340" s="2"/>
      <c r="M340" s="3">
        <v>0</v>
      </c>
      <c r="N340" s="3">
        <v>3384.15</v>
      </c>
      <c r="O340">
        <v>0</v>
      </c>
      <c r="P340" t="s">
        <v>406</v>
      </c>
    </row>
    <row r="341" spans="1:16">
      <c r="A341" s="2">
        <v>46145</v>
      </c>
      <c r="B341" t="s">
        <v>410</v>
      </c>
      <c r="C341" t="s">
        <v>82</v>
      </c>
      <c r="D341" t="s">
        <v>34</v>
      </c>
      <c r="E341" t="s">
        <v>48</v>
      </c>
      <c r="F341" s="3">
        <v>4962.53</v>
      </c>
      <c r="G341" t="s">
        <v>44</v>
      </c>
      <c r="H341" t="s">
        <v>69</v>
      </c>
      <c r="I341">
        <v>15</v>
      </c>
      <c r="J341" s="2">
        <v>46160</v>
      </c>
      <c r="K341" t="s">
        <v>50</v>
      </c>
      <c r="L341" s="2">
        <v>46171</v>
      </c>
      <c r="M341" s="3">
        <v>4962.53</v>
      </c>
      <c r="N341" s="3">
        <v>0</v>
      </c>
      <c r="O341">
        <v>0</v>
      </c>
      <c r="P341" t="s">
        <v>406</v>
      </c>
    </row>
    <row r="342" spans="1:16">
      <c r="A342" s="2">
        <v>46145</v>
      </c>
      <c r="B342" t="s">
        <v>411</v>
      </c>
      <c r="C342" t="s">
        <v>82</v>
      </c>
      <c r="D342" t="s">
        <v>34</v>
      </c>
      <c r="E342" t="s">
        <v>57</v>
      </c>
      <c r="F342" s="3">
        <v>1282.74</v>
      </c>
      <c r="G342" t="s">
        <v>44</v>
      </c>
      <c r="H342" t="s">
        <v>45</v>
      </c>
      <c r="I342">
        <v>7</v>
      </c>
      <c r="J342" s="2">
        <v>46152</v>
      </c>
      <c r="K342" t="s">
        <v>50</v>
      </c>
      <c r="L342" s="2">
        <v>46159</v>
      </c>
      <c r="M342" s="3">
        <v>1282.74</v>
      </c>
      <c r="N342" s="3">
        <v>0</v>
      </c>
      <c r="O342">
        <v>0</v>
      </c>
      <c r="P342" t="s">
        <v>406</v>
      </c>
    </row>
    <row r="343" spans="1:16">
      <c r="A343" s="2">
        <v>46146</v>
      </c>
      <c r="B343" t="s">
        <v>412</v>
      </c>
      <c r="C343" t="s">
        <v>90</v>
      </c>
      <c r="D343" t="s">
        <v>42</v>
      </c>
      <c r="E343" t="s">
        <v>53</v>
      </c>
      <c r="F343" s="3">
        <v>2159.61</v>
      </c>
      <c r="G343" t="s">
        <v>49</v>
      </c>
      <c r="H343" t="s">
        <v>58</v>
      </c>
      <c r="I343">
        <v>15</v>
      </c>
      <c r="J343" s="2">
        <v>46161</v>
      </c>
      <c r="K343" t="s">
        <v>50</v>
      </c>
      <c r="L343" s="2">
        <v>46162</v>
      </c>
      <c r="M343" s="3">
        <v>2159.61</v>
      </c>
      <c r="N343" s="3">
        <v>0</v>
      </c>
      <c r="O343">
        <v>0</v>
      </c>
      <c r="P343" t="s">
        <v>406</v>
      </c>
    </row>
    <row r="344" spans="1:16">
      <c r="A344" s="2">
        <v>46146</v>
      </c>
      <c r="B344" t="s">
        <v>413</v>
      </c>
      <c r="C344" t="s">
        <v>84</v>
      </c>
      <c r="D344" t="s">
        <v>34</v>
      </c>
      <c r="E344" t="s">
        <v>57</v>
      </c>
      <c r="F344" s="3">
        <v>2169.7199999999998</v>
      </c>
      <c r="G344" t="s">
        <v>44</v>
      </c>
      <c r="H344" t="s">
        <v>37</v>
      </c>
      <c r="I344">
        <v>30</v>
      </c>
      <c r="J344" s="2">
        <v>46176</v>
      </c>
      <c r="K344" t="s">
        <v>50</v>
      </c>
      <c r="L344" s="2">
        <v>46179</v>
      </c>
      <c r="M344" s="3">
        <v>2169.7199999999998</v>
      </c>
      <c r="N344" s="3">
        <v>0</v>
      </c>
      <c r="O344">
        <v>0</v>
      </c>
      <c r="P344" t="s">
        <v>406</v>
      </c>
    </row>
    <row r="345" spans="1:16">
      <c r="A345" s="2">
        <v>46146</v>
      </c>
      <c r="B345" t="s">
        <v>414</v>
      </c>
      <c r="C345" t="s">
        <v>84</v>
      </c>
      <c r="D345" t="s">
        <v>65</v>
      </c>
      <c r="E345" t="s">
        <v>43</v>
      </c>
      <c r="F345" s="3">
        <v>609.04</v>
      </c>
      <c r="G345" t="s">
        <v>71</v>
      </c>
      <c r="H345" t="s">
        <v>58</v>
      </c>
      <c r="I345">
        <v>30</v>
      </c>
      <c r="J345" s="2">
        <v>46176</v>
      </c>
      <c r="K345" t="s">
        <v>50</v>
      </c>
      <c r="L345" s="2">
        <v>46179</v>
      </c>
      <c r="M345" s="3">
        <v>609.04</v>
      </c>
      <c r="N345" s="3">
        <v>0</v>
      </c>
      <c r="O345">
        <v>0</v>
      </c>
      <c r="P345" t="s">
        <v>406</v>
      </c>
    </row>
    <row r="346" spans="1:16">
      <c r="A346" s="2">
        <v>46146</v>
      </c>
      <c r="B346" t="s">
        <v>415</v>
      </c>
      <c r="C346" t="s">
        <v>82</v>
      </c>
      <c r="D346" t="s">
        <v>42</v>
      </c>
      <c r="E346" t="s">
        <v>53</v>
      </c>
      <c r="F346" s="3">
        <v>2452.02</v>
      </c>
      <c r="G346" t="s">
        <v>44</v>
      </c>
      <c r="H346" t="s">
        <v>66</v>
      </c>
      <c r="I346">
        <v>30</v>
      </c>
      <c r="J346" s="2">
        <v>46176</v>
      </c>
      <c r="K346" t="s">
        <v>38</v>
      </c>
      <c r="L346" s="2"/>
      <c r="M346" s="3">
        <v>0</v>
      </c>
      <c r="N346" s="3">
        <v>2452.02</v>
      </c>
      <c r="O346">
        <v>0</v>
      </c>
      <c r="P346" t="s">
        <v>406</v>
      </c>
    </row>
    <row r="347" spans="1:16">
      <c r="A347" s="2">
        <v>46146</v>
      </c>
      <c r="B347" t="s">
        <v>416</v>
      </c>
      <c r="C347" t="s">
        <v>64</v>
      </c>
      <c r="D347" t="s">
        <v>42</v>
      </c>
      <c r="E347" t="s">
        <v>48</v>
      </c>
      <c r="F347" s="3">
        <v>540.34</v>
      </c>
      <c r="G347" t="s">
        <v>71</v>
      </c>
      <c r="H347" t="s">
        <v>62</v>
      </c>
      <c r="I347">
        <v>30</v>
      </c>
      <c r="J347" s="2">
        <v>46176</v>
      </c>
      <c r="K347" t="s">
        <v>50</v>
      </c>
      <c r="L347" s="2">
        <v>46176</v>
      </c>
      <c r="M347" s="3">
        <v>540.34</v>
      </c>
      <c r="N347" s="3">
        <v>0</v>
      </c>
      <c r="O347">
        <v>0</v>
      </c>
      <c r="P347" t="s">
        <v>406</v>
      </c>
    </row>
    <row r="348" spans="1:16">
      <c r="A348" s="2">
        <v>46146</v>
      </c>
      <c r="B348" t="s">
        <v>417</v>
      </c>
      <c r="C348" t="s">
        <v>47</v>
      </c>
      <c r="D348" t="s">
        <v>65</v>
      </c>
      <c r="E348" t="s">
        <v>48</v>
      </c>
      <c r="F348" s="3">
        <v>1535.24</v>
      </c>
      <c r="G348" t="s">
        <v>44</v>
      </c>
      <c r="H348" t="s">
        <v>66</v>
      </c>
      <c r="I348">
        <v>15</v>
      </c>
      <c r="J348" s="2">
        <v>46161</v>
      </c>
      <c r="K348" t="s">
        <v>50</v>
      </c>
      <c r="L348" s="2">
        <v>46161</v>
      </c>
      <c r="M348" s="3">
        <v>1535.24</v>
      </c>
      <c r="N348" s="3">
        <v>0</v>
      </c>
      <c r="O348">
        <v>0</v>
      </c>
      <c r="P348" t="s">
        <v>406</v>
      </c>
    </row>
    <row r="349" spans="1:16">
      <c r="A349" s="2">
        <v>46147</v>
      </c>
      <c r="B349" t="s">
        <v>418</v>
      </c>
      <c r="C349" t="s">
        <v>84</v>
      </c>
      <c r="D349" t="s">
        <v>42</v>
      </c>
      <c r="E349" t="s">
        <v>53</v>
      </c>
      <c r="F349" s="3">
        <v>1620.71</v>
      </c>
      <c r="G349" t="s">
        <v>36</v>
      </c>
      <c r="H349" t="s">
        <v>37</v>
      </c>
      <c r="I349">
        <v>45</v>
      </c>
      <c r="J349" s="2">
        <v>46192</v>
      </c>
      <c r="K349" t="s">
        <v>50</v>
      </c>
      <c r="L349" s="2">
        <v>46197</v>
      </c>
      <c r="M349" s="3">
        <v>1620.71</v>
      </c>
      <c r="N349" s="3">
        <v>0</v>
      </c>
      <c r="O349">
        <v>0</v>
      </c>
      <c r="P349" t="s">
        <v>406</v>
      </c>
    </row>
    <row r="350" spans="1:16">
      <c r="A350" s="2">
        <v>46148</v>
      </c>
      <c r="B350" t="s">
        <v>419</v>
      </c>
      <c r="C350" t="s">
        <v>56</v>
      </c>
      <c r="D350" t="s">
        <v>34</v>
      </c>
      <c r="E350" t="s">
        <v>57</v>
      </c>
      <c r="F350" s="3">
        <v>1401.58</v>
      </c>
      <c r="G350" t="s">
        <v>71</v>
      </c>
      <c r="H350" t="s">
        <v>69</v>
      </c>
      <c r="I350">
        <v>7</v>
      </c>
      <c r="J350" s="2">
        <v>46155</v>
      </c>
      <c r="K350" t="s">
        <v>50</v>
      </c>
      <c r="L350" s="2">
        <v>46159</v>
      </c>
      <c r="M350" s="3">
        <v>1401.58</v>
      </c>
      <c r="N350" s="3">
        <v>0</v>
      </c>
      <c r="O350">
        <v>0</v>
      </c>
      <c r="P350" t="s">
        <v>406</v>
      </c>
    </row>
    <row r="351" spans="1:16">
      <c r="A351" s="2">
        <v>46148</v>
      </c>
      <c r="B351" t="s">
        <v>420</v>
      </c>
      <c r="C351" t="s">
        <v>41</v>
      </c>
      <c r="D351" t="s">
        <v>34</v>
      </c>
      <c r="E351" t="s">
        <v>57</v>
      </c>
      <c r="F351" s="3">
        <v>1536.97</v>
      </c>
      <c r="G351" t="s">
        <v>49</v>
      </c>
      <c r="H351" t="s">
        <v>69</v>
      </c>
      <c r="I351">
        <v>30</v>
      </c>
      <c r="J351" s="2">
        <v>46178</v>
      </c>
      <c r="K351" t="s">
        <v>50</v>
      </c>
      <c r="L351" s="2">
        <v>46186</v>
      </c>
      <c r="M351" s="3">
        <v>1536.97</v>
      </c>
      <c r="N351" s="3">
        <v>0</v>
      </c>
      <c r="O351">
        <v>0</v>
      </c>
      <c r="P351" t="s">
        <v>406</v>
      </c>
    </row>
    <row r="352" spans="1:16">
      <c r="A352" s="2">
        <v>46149</v>
      </c>
      <c r="B352" t="s">
        <v>421</v>
      </c>
      <c r="C352" t="s">
        <v>41</v>
      </c>
      <c r="D352" t="s">
        <v>42</v>
      </c>
      <c r="E352" t="s">
        <v>43</v>
      </c>
      <c r="F352" s="3">
        <v>1772.01</v>
      </c>
      <c r="G352" t="s">
        <v>49</v>
      </c>
      <c r="H352" t="s">
        <v>62</v>
      </c>
      <c r="I352">
        <v>30</v>
      </c>
      <c r="J352" s="2">
        <v>46179</v>
      </c>
      <c r="K352" t="s">
        <v>72</v>
      </c>
      <c r="L352" s="2"/>
      <c r="M352" s="3">
        <v>0</v>
      </c>
      <c r="N352" s="3">
        <v>1772.01</v>
      </c>
      <c r="O352">
        <v>79</v>
      </c>
      <c r="P352" t="s">
        <v>406</v>
      </c>
    </row>
    <row r="353" spans="1:16">
      <c r="A353" s="2">
        <v>46149</v>
      </c>
      <c r="B353" t="s">
        <v>422</v>
      </c>
      <c r="C353" t="s">
        <v>64</v>
      </c>
      <c r="D353" t="s">
        <v>34</v>
      </c>
      <c r="E353" t="s">
        <v>57</v>
      </c>
      <c r="F353" s="3">
        <v>663.95</v>
      </c>
      <c r="G353" t="s">
        <v>49</v>
      </c>
      <c r="H353" t="s">
        <v>69</v>
      </c>
      <c r="I353">
        <v>15</v>
      </c>
      <c r="J353" s="2">
        <v>46164</v>
      </c>
      <c r="K353" t="s">
        <v>50</v>
      </c>
      <c r="L353" s="2">
        <v>46173</v>
      </c>
      <c r="M353" s="3">
        <v>663.95</v>
      </c>
      <c r="N353" s="3">
        <v>0</v>
      </c>
      <c r="O353">
        <v>0</v>
      </c>
      <c r="P353" t="s">
        <v>406</v>
      </c>
    </row>
    <row r="354" spans="1:16">
      <c r="A354" s="2">
        <v>46150</v>
      </c>
      <c r="B354" t="s">
        <v>423</v>
      </c>
      <c r="C354" t="s">
        <v>47</v>
      </c>
      <c r="D354" t="s">
        <v>42</v>
      </c>
      <c r="E354" t="s">
        <v>53</v>
      </c>
      <c r="F354" s="3">
        <v>1435.14</v>
      </c>
      <c r="G354" t="s">
        <v>44</v>
      </c>
      <c r="H354" t="s">
        <v>62</v>
      </c>
      <c r="I354">
        <v>15</v>
      </c>
      <c r="J354" s="2">
        <v>46165</v>
      </c>
      <c r="K354" t="s">
        <v>50</v>
      </c>
      <c r="L354" s="2">
        <v>46172</v>
      </c>
      <c r="M354" s="3">
        <v>1435.14</v>
      </c>
      <c r="N354" s="3">
        <v>0</v>
      </c>
      <c r="O354">
        <v>0</v>
      </c>
      <c r="P354" t="s">
        <v>406</v>
      </c>
    </row>
    <row r="355" spans="1:16">
      <c r="A355" s="2">
        <v>46150</v>
      </c>
      <c r="B355" t="s">
        <v>424</v>
      </c>
      <c r="C355" t="s">
        <v>56</v>
      </c>
      <c r="D355" t="s">
        <v>52</v>
      </c>
      <c r="E355" t="s">
        <v>57</v>
      </c>
      <c r="F355" s="3">
        <v>284.33999999999997</v>
      </c>
      <c r="G355" t="s">
        <v>49</v>
      </c>
      <c r="H355" t="s">
        <v>62</v>
      </c>
      <c r="I355">
        <v>7</v>
      </c>
      <c r="J355" s="2">
        <v>46157</v>
      </c>
      <c r="K355" t="s">
        <v>38</v>
      </c>
      <c r="L355" s="2"/>
      <c r="M355" s="3">
        <v>0</v>
      </c>
      <c r="N355" s="3">
        <v>284.33999999999997</v>
      </c>
      <c r="O355">
        <v>0</v>
      </c>
      <c r="P355" t="s">
        <v>406</v>
      </c>
    </row>
    <row r="356" spans="1:16">
      <c r="A356" s="2">
        <v>46150</v>
      </c>
      <c r="B356" t="s">
        <v>425</v>
      </c>
      <c r="C356" t="s">
        <v>64</v>
      </c>
      <c r="D356" t="s">
        <v>65</v>
      </c>
      <c r="E356" t="s">
        <v>43</v>
      </c>
      <c r="F356" s="3">
        <v>2333.0100000000002</v>
      </c>
      <c r="G356" t="s">
        <v>44</v>
      </c>
      <c r="H356" t="s">
        <v>58</v>
      </c>
      <c r="I356">
        <v>7</v>
      </c>
      <c r="J356" s="2">
        <v>46157</v>
      </c>
      <c r="K356" t="s">
        <v>50</v>
      </c>
      <c r="L356" s="2">
        <v>46157</v>
      </c>
      <c r="M356" s="3">
        <v>2333.0100000000002</v>
      </c>
      <c r="N356" s="3">
        <v>0</v>
      </c>
      <c r="O356">
        <v>0</v>
      </c>
      <c r="P356" t="s">
        <v>406</v>
      </c>
    </row>
    <row r="357" spans="1:16">
      <c r="A357" s="2">
        <v>46150</v>
      </c>
      <c r="B357" t="s">
        <v>426</v>
      </c>
      <c r="C357" t="s">
        <v>68</v>
      </c>
      <c r="D357" t="s">
        <v>65</v>
      </c>
      <c r="E357" t="s">
        <v>57</v>
      </c>
      <c r="F357" s="3">
        <v>2770.3</v>
      </c>
      <c r="G357" t="s">
        <v>71</v>
      </c>
      <c r="H357" t="s">
        <v>45</v>
      </c>
      <c r="I357">
        <v>15</v>
      </c>
      <c r="J357" s="2">
        <v>46165</v>
      </c>
      <c r="K357" t="s">
        <v>50</v>
      </c>
      <c r="L357" s="2">
        <v>46173</v>
      </c>
      <c r="M357" s="3">
        <v>2770.3</v>
      </c>
      <c r="N357" s="3">
        <v>0</v>
      </c>
      <c r="O357">
        <v>0</v>
      </c>
      <c r="P357" t="s">
        <v>406</v>
      </c>
    </row>
    <row r="358" spans="1:16">
      <c r="A358" s="2">
        <v>46150</v>
      </c>
      <c r="B358" t="s">
        <v>427</v>
      </c>
      <c r="C358" t="s">
        <v>84</v>
      </c>
      <c r="D358" t="s">
        <v>34</v>
      </c>
      <c r="E358" t="s">
        <v>57</v>
      </c>
      <c r="F358" s="3">
        <v>852.31</v>
      </c>
      <c r="G358" t="s">
        <v>49</v>
      </c>
      <c r="H358" t="s">
        <v>69</v>
      </c>
      <c r="I358">
        <v>30</v>
      </c>
      <c r="J358" s="2">
        <v>46180</v>
      </c>
      <c r="K358" t="s">
        <v>50</v>
      </c>
      <c r="L358" s="2">
        <v>46189</v>
      </c>
      <c r="M358" s="3">
        <v>852.31</v>
      </c>
      <c r="N358" s="3">
        <v>0</v>
      </c>
      <c r="O358">
        <v>0</v>
      </c>
      <c r="P358" t="s">
        <v>406</v>
      </c>
    </row>
    <row r="359" spans="1:16">
      <c r="A359" s="2">
        <v>46150</v>
      </c>
      <c r="B359" t="s">
        <v>428</v>
      </c>
      <c r="C359" t="s">
        <v>84</v>
      </c>
      <c r="D359" t="s">
        <v>34</v>
      </c>
      <c r="E359" t="s">
        <v>57</v>
      </c>
      <c r="F359" s="3">
        <v>1903.72</v>
      </c>
      <c r="G359" t="s">
        <v>49</v>
      </c>
      <c r="H359" t="s">
        <v>62</v>
      </c>
      <c r="I359">
        <v>15</v>
      </c>
      <c r="J359" s="2">
        <v>46165</v>
      </c>
      <c r="K359" t="s">
        <v>50</v>
      </c>
      <c r="L359" s="2">
        <v>46172</v>
      </c>
      <c r="M359" s="3">
        <v>1903.72</v>
      </c>
      <c r="N359" s="3">
        <v>0</v>
      </c>
      <c r="O359">
        <v>0</v>
      </c>
      <c r="P359" t="s">
        <v>406</v>
      </c>
    </row>
    <row r="360" spans="1:16">
      <c r="A360" s="2">
        <v>46150</v>
      </c>
      <c r="B360" t="s">
        <v>429</v>
      </c>
      <c r="C360" t="s">
        <v>68</v>
      </c>
      <c r="D360" t="s">
        <v>65</v>
      </c>
      <c r="E360" t="s">
        <v>43</v>
      </c>
      <c r="F360" s="3">
        <v>956.27</v>
      </c>
      <c r="G360" t="s">
        <v>36</v>
      </c>
      <c r="H360" t="s">
        <v>66</v>
      </c>
      <c r="I360">
        <v>30</v>
      </c>
      <c r="J360" s="2">
        <v>46180</v>
      </c>
      <c r="K360" t="s">
        <v>50</v>
      </c>
      <c r="L360" s="2">
        <v>46185</v>
      </c>
      <c r="M360" s="3">
        <v>956.27</v>
      </c>
      <c r="N360" s="3">
        <v>0</v>
      </c>
      <c r="O360">
        <v>0</v>
      </c>
      <c r="P360" t="s">
        <v>406</v>
      </c>
    </row>
    <row r="361" spans="1:16">
      <c r="A361" s="2">
        <v>46151</v>
      </c>
      <c r="B361" t="s">
        <v>430</v>
      </c>
      <c r="C361" t="s">
        <v>61</v>
      </c>
      <c r="D361" t="s">
        <v>34</v>
      </c>
      <c r="E361" t="s">
        <v>48</v>
      </c>
      <c r="F361" s="3">
        <v>1514.8</v>
      </c>
      <c r="G361" t="s">
        <v>49</v>
      </c>
      <c r="H361" t="s">
        <v>69</v>
      </c>
      <c r="I361">
        <v>30</v>
      </c>
      <c r="J361" s="2">
        <v>46181</v>
      </c>
      <c r="K361" t="s">
        <v>50</v>
      </c>
      <c r="L361" s="2">
        <v>46187</v>
      </c>
      <c r="M361" s="3">
        <v>1514.8</v>
      </c>
      <c r="N361" s="3">
        <v>0</v>
      </c>
      <c r="O361">
        <v>0</v>
      </c>
      <c r="P361" t="s">
        <v>406</v>
      </c>
    </row>
    <row r="362" spans="1:16">
      <c r="A362" s="2">
        <v>46151</v>
      </c>
      <c r="B362" t="s">
        <v>431</v>
      </c>
      <c r="C362" t="s">
        <v>74</v>
      </c>
      <c r="D362" t="s">
        <v>34</v>
      </c>
      <c r="E362" t="s">
        <v>43</v>
      </c>
      <c r="F362" s="3">
        <v>1410.01</v>
      </c>
      <c r="G362" t="s">
        <v>71</v>
      </c>
      <c r="H362" t="s">
        <v>62</v>
      </c>
      <c r="I362">
        <v>15</v>
      </c>
      <c r="J362" s="2">
        <v>46166</v>
      </c>
      <c r="K362" t="s">
        <v>38</v>
      </c>
      <c r="L362" s="2"/>
      <c r="M362" s="3">
        <v>0</v>
      </c>
      <c r="N362" s="3">
        <v>1410.01</v>
      </c>
      <c r="O362">
        <v>0</v>
      </c>
      <c r="P362" t="s">
        <v>406</v>
      </c>
    </row>
    <row r="363" spans="1:16">
      <c r="A363" s="2">
        <v>46151</v>
      </c>
      <c r="B363" t="s">
        <v>432</v>
      </c>
      <c r="C363" t="s">
        <v>64</v>
      </c>
      <c r="D363" t="s">
        <v>34</v>
      </c>
      <c r="E363" t="s">
        <v>43</v>
      </c>
      <c r="F363" s="3">
        <v>2244.75</v>
      </c>
      <c r="G363" t="s">
        <v>44</v>
      </c>
      <c r="H363" t="s">
        <v>69</v>
      </c>
      <c r="I363">
        <v>30</v>
      </c>
      <c r="J363" s="2">
        <v>46181</v>
      </c>
      <c r="K363" t="s">
        <v>50</v>
      </c>
      <c r="L363" s="2">
        <v>46185</v>
      </c>
      <c r="M363" s="3">
        <v>2244.75</v>
      </c>
      <c r="N363" s="3">
        <v>0</v>
      </c>
      <c r="O363">
        <v>0</v>
      </c>
      <c r="P363" t="s">
        <v>406</v>
      </c>
    </row>
    <row r="364" spans="1:16">
      <c r="A364" s="2">
        <v>46151</v>
      </c>
      <c r="B364" t="s">
        <v>433</v>
      </c>
      <c r="C364" t="s">
        <v>61</v>
      </c>
      <c r="D364" t="s">
        <v>65</v>
      </c>
      <c r="E364" t="s">
        <v>48</v>
      </c>
      <c r="F364" s="3">
        <v>1472.73</v>
      </c>
      <c r="G364" t="s">
        <v>71</v>
      </c>
      <c r="H364" t="s">
        <v>66</v>
      </c>
      <c r="I364">
        <v>30</v>
      </c>
      <c r="J364" s="2">
        <v>46181</v>
      </c>
      <c r="K364" t="s">
        <v>50</v>
      </c>
      <c r="L364" s="2">
        <v>46181</v>
      </c>
      <c r="M364" s="3">
        <v>1472.73</v>
      </c>
      <c r="N364" s="3">
        <v>0</v>
      </c>
      <c r="O364">
        <v>0</v>
      </c>
      <c r="P364" t="s">
        <v>406</v>
      </c>
    </row>
    <row r="365" spans="1:16">
      <c r="A365" s="2">
        <v>46151</v>
      </c>
      <c r="B365" t="s">
        <v>434</v>
      </c>
      <c r="C365" t="s">
        <v>82</v>
      </c>
      <c r="D365" t="s">
        <v>42</v>
      </c>
      <c r="E365" t="s">
        <v>48</v>
      </c>
      <c r="F365" s="3">
        <v>682.43</v>
      </c>
      <c r="G365" t="s">
        <v>71</v>
      </c>
      <c r="H365" t="s">
        <v>45</v>
      </c>
      <c r="I365">
        <v>7</v>
      </c>
      <c r="J365" s="2">
        <v>46158</v>
      </c>
      <c r="K365" t="s">
        <v>50</v>
      </c>
      <c r="L365" s="2">
        <v>46165</v>
      </c>
      <c r="M365" s="3">
        <v>682.43</v>
      </c>
      <c r="N365" s="3">
        <v>0</v>
      </c>
      <c r="O365">
        <v>0</v>
      </c>
      <c r="P365" t="s">
        <v>406</v>
      </c>
    </row>
    <row r="366" spans="1:16">
      <c r="A366" s="2">
        <v>46151</v>
      </c>
      <c r="B366" t="s">
        <v>435</v>
      </c>
      <c r="C366" t="s">
        <v>33</v>
      </c>
      <c r="D366" t="s">
        <v>34</v>
      </c>
      <c r="E366" t="s">
        <v>35</v>
      </c>
      <c r="F366" s="3">
        <v>1939.3</v>
      </c>
      <c r="G366" t="s">
        <v>36</v>
      </c>
      <c r="H366" t="s">
        <v>69</v>
      </c>
      <c r="I366">
        <v>7</v>
      </c>
      <c r="J366" s="2">
        <v>46158</v>
      </c>
      <c r="K366" t="s">
        <v>50</v>
      </c>
      <c r="L366" s="2">
        <v>46161</v>
      </c>
      <c r="M366" s="3">
        <v>1939.3</v>
      </c>
      <c r="N366" s="3">
        <v>0</v>
      </c>
      <c r="O366">
        <v>0</v>
      </c>
      <c r="P366" t="s">
        <v>406</v>
      </c>
    </row>
    <row r="367" spans="1:16">
      <c r="A367" s="2">
        <v>46151</v>
      </c>
      <c r="B367" t="s">
        <v>436</v>
      </c>
      <c r="C367" t="s">
        <v>56</v>
      </c>
      <c r="D367" t="s">
        <v>42</v>
      </c>
      <c r="E367" t="s">
        <v>43</v>
      </c>
      <c r="F367" s="3">
        <v>2162.2199999999998</v>
      </c>
      <c r="G367" t="s">
        <v>49</v>
      </c>
      <c r="H367" t="s">
        <v>45</v>
      </c>
      <c r="I367">
        <v>30</v>
      </c>
      <c r="J367" s="2">
        <v>46181</v>
      </c>
      <c r="K367" t="s">
        <v>38</v>
      </c>
      <c r="L367" s="2"/>
      <c r="M367" s="3">
        <v>0</v>
      </c>
      <c r="N367" s="3">
        <v>2162.2199999999998</v>
      </c>
      <c r="O367">
        <v>0</v>
      </c>
      <c r="P367" t="s">
        <v>406</v>
      </c>
    </row>
    <row r="368" spans="1:16">
      <c r="A368" s="2">
        <v>46152</v>
      </c>
      <c r="B368" t="s">
        <v>437</v>
      </c>
      <c r="C368" t="s">
        <v>64</v>
      </c>
      <c r="D368" t="s">
        <v>52</v>
      </c>
      <c r="E368" t="s">
        <v>48</v>
      </c>
      <c r="F368" s="3">
        <v>933.87</v>
      </c>
      <c r="G368" t="s">
        <v>36</v>
      </c>
      <c r="H368" t="s">
        <v>69</v>
      </c>
      <c r="I368">
        <v>7</v>
      </c>
      <c r="J368" s="2">
        <v>46159</v>
      </c>
      <c r="K368" t="s">
        <v>50</v>
      </c>
      <c r="L368" s="2">
        <v>46168</v>
      </c>
      <c r="M368" s="3">
        <v>933.87</v>
      </c>
      <c r="N368" s="3">
        <v>0</v>
      </c>
      <c r="O368">
        <v>0</v>
      </c>
      <c r="P368" t="s">
        <v>406</v>
      </c>
    </row>
    <row r="369" spans="1:16">
      <c r="A369" s="2">
        <v>46152</v>
      </c>
      <c r="B369" t="s">
        <v>438</v>
      </c>
      <c r="C369" t="s">
        <v>33</v>
      </c>
      <c r="D369" t="s">
        <v>65</v>
      </c>
      <c r="E369" t="s">
        <v>53</v>
      </c>
      <c r="F369" s="3">
        <v>2872.46</v>
      </c>
      <c r="G369" t="s">
        <v>49</v>
      </c>
      <c r="H369" t="s">
        <v>37</v>
      </c>
      <c r="I369">
        <v>30</v>
      </c>
      <c r="J369" s="2">
        <v>46182</v>
      </c>
      <c r="K369" t="s">
        <v>50</v>
      </c>
      <c r="L369" s="2">
        <v>46193</v>
      </c>
      <c r="M369" s="3">
        <v>2872.46</v>
      </c>
      <c r="N369" s="3">
        <v>0</v>
      </c>
      <c r="O369">
        <v>0</v>
      </c>
      <c r="P369" t="s">
        <v>406</v>
      </c>
    </row>
    <row r="370" spans="1:16">
      <c r="A370" s="2">
        <v>46152</v>
      </c>
      <c r="B370" t="s">
        <v>439</v>
      </c>
      <c r="C370" t="s">
        <v>56</v>
      </c>
      <c r="D370" t="s">
        <v>42</v>
      </c>
      <c r="E370" t="s">
        <v>48</v>
      </c>
      <c r="F370" s="3">
        <v>2636.78</v>
      </c>
      <c r="G370" t="s">
        <v>44</v>
      </c>
      <c r="H370" t="s">
        <v>58</v>
      </c>
      <c r="I370">
        <v>30</v>
      </c>
      <c r="J370" s="2">
        <v>46182</v>
      </c>
      <c r="K370" t="s">
        <v>50</v>
      </c>
      <c r="L370" s="2">
        <v>46193</v>
      </c>
      <c r="M370" s="3">
        <v>2636.78</v>
      </c>
      <c r="N370" s="3">
        <v>0</v>
      </c>
      <c r="O370">
        <v>0</v>
      </c>
      <c r="P370" t="s">
        <v>406</v>
      </c>
    </row>
    <row r="371" spans="1:16">
      <c r="A371" s="2">
        <v>46152</v>
      </c>
      <c r="B371" t="s">
        <v>440</v>
      </c>
      <c r="C371" t="s">
        <v>80</v>
      </c>
      <c r="D371" t="s">
        <v>34</v>
      </c>
      <c r="E371" t="s">
        <v>53</v>
      </c>
      <c r="F371" s="3">
        <v>1664.74</v>
      </c>
      <c r="G371" t="s">
        <v>44</v>
      </c>
      <c r="H371" t="s">
        <v>62</v>
      </c>
      <c r="I371">
        <v>15</v>
      </c>
      <c r="J371" s="2">
        <v>46167</v>
      </c>
      <c r="K371" t="s">
        <v>72</v>
      </c>
      <c r="L371" s="2"/>
      <c r="M371" s="3">
        <v>0</v>
      </c>
      <c r="N371" s="3">
        <v>1664.74</v>
      </c>
      <c r="O371">
        <v>91</v>
      </c>
      <c r="P371" t="s">
        <v>406</v>
      </c>
    </row>
    <row r="372" spans="1:16">
      <c r="A372" s="2">
        <v>46152</v>
      </c>
      <c r="B372" t="s">
        <v>441</v>
      </c>
      <c r="C372" t="s">
        <v>82</v>
      </c>
      <c r="D372" t="s">
        <v>34</v>
      </c>
      <c r="E372" t="s">
        <v>43</v>
      </c>
      <c r="F372" s="3">
        <v>862.33</v>
      </c>
      <c r="G372" t="s">
        <v>36</v>
      </c>
      <c r="H372" t="s">
        <v>45</v>
      </c>
      <c r="I372">
        <v>15</v>
      </c>
      <c r="J372" s="2">
        <v>46167</v>
      </c>
      <c r="K372" t="s">
        <v>50</v>
      </c>
      <c r="L372" s="2">
        <v>46176</v>
      </c>
      <c r="M372" s="3">
        <v>862.33</v>
      </c>
      <c r="N372" s="3">
        <v>0</v>
      </c>
      <c r="O372">
        <v>0</v>
      </c>
      <c r="P372" t="s">
        <v>406</v>
      </c>
    </row>
    <row r="373" spans="1:16">
      <c r="A373" s="2">
        <v>46152</v>
      </c>
      <c r="B373" t="s">
        <v>442</v>
      </c>
      <c r="C373" t="s">
        <v>33</v>
      </c>
      <c r="D373" t="s">
        <v>42</v>
      </c>
      <c r="E373" t="s">
        <v>53</v>
      </c>
      <c r="F373" s="3">
        <v>423.18</v>
      </c>
      <c r="G373" t="s">
        <v>49</v>
      </c>
      <c r="H373" t="s">
        <v>62</v>
      </c>
      <c r="I373">
        <v>15</v>
      </c>
      <c r="J373" s="2">
        <v>46167</v>
      </c>
      <c r="K373" t="s">
        <v>50</v>
      </c>
      <c r="L373" s="2">
        <v>46167</v>
      </c>
      <c r="M373" s="3">
        <v>423.18</v>
      </c>
      <c r="N373" s="3">
        <v>0</v>
      </c>
      <c r="O373">
        <v>0</v>
      </c>
      <c r="P373" t="s">
        <v>406</v>
      </c>
    </row>
    <row r="374" spans="1:16">
      <c r="A374" s="2">
        <v>46152</v>
      </c>
      <c r="B374" t="s">
        <v>443</v>
      </c>
      <c r="C374" t="s">
        <v>56</v>
      </c>
      <c r="D374" t="s">
        <v>42</v>
      </c>
      <c r="E374" t="s">
        <v>48</v>
      </c>
      <c r="F374" s="3">
        <v>1013.59</v>
      </c>
      <c r="G374" t="s">
        <v>71</v>
      </c>
      <c r="H374" t="s">
        <v>62</v>
      </c>
      <c r="I374">
        <v>30</v>
      </c>
      <c r="J374" s="2">
        <v>46182</v>
      </c>
      <c r="K374" t="s">
        <v>38</v>
      </c>
      <c r="L374" s="2"/>
      <c r="M374" s="3">
        <v>0</v>
      </c>
      <c r="N374" s="3">
        <v>1013.59</v>
      </c>
      <c r="O374">
        <v>0</v>
      </c>
      <c r="P374" t="s">
        <v>406</v>
      </c>
    </row>
    <row r="375" spans="1:16">
      <c r="A375" s="2">
        <v>46153</v>
      </c>
      <c r="B375" t="s">
        <v>444</v>
      </c>
      <c r="C375" t="s">
        <v>56</v>
      </c>
      <c r="D375" t="s">
        <v>65</v>
      </c>
      <c r="E375" t="s">
        <v>53</v>
      </c>
      <c r="F375" s="3">
        <v>1285.5</v>
      </c>
      <c r="G375" t="s">
        <v>36</v>
      </c>
      <c r="H375" t="s">
        <v>37</v>
      </c>
      <c r="I375">
        <v>30</v>
      </c>
      <c r="J375" s="2">
        <v>46183</v>
      </c>
      <c r="K375" t="s">
        <v>50</v>
      </c>
      <c r="L375" s="2">
        <v>46188</v>
      </c>
      <c r="M375" s="3">
        <v>1285.5</v>
      </c>
      <c r="N375" s="3">
        <v>0</v>
      </c>
      <c r="O375">
        <v>0</v>
      </c>
      <c r="P375" t="s">
        <v>406</v>
      </c>
    </row>
    <row r="376" spans="1:16">
      <c r="A376" s="2">
        <v>46153</v>
      </c>
      <c r="B376" t="s">
        <v>445</v>
      </c>
      <c r="C376" t="s">
        <v>61</v>
      </c>
      <c r="D376" t="s">
        <v>34</v>
      </c>
      <c r="E376" t="s">
        <v>53</v>
      </c>
      <c r="F376" s="3">
        <v>777.02</v>
      </c>
      <c r="G376" t="s">
        <v>44</v>
      </c>
      <c r="H376" t="s">
        <v>62</v>
      </c>
      <c r="I376">
        <v>15</v>
      </c>
      <c r="J376" s="2">
        <v>46168</v>
      </c>
      <c r="K376" t="s">
        <v>72</v>
      </c>
      <c r="L376" s="2"/>
      <c r="M376" s="3">
        <v>0</v>
      </c>
      <c r="N376" s="3">
        <v>777.02</v>
      </c>
      <c r="O376">
        <v>90</v>
      </c>
      <c r="P376" t="s">
        <v>406</v>
      </c>
    </row>
    <row r="377" spans="1:16">
      <c r="A377" s="2">
        <v>46153</v>
      </c>
      <c r="B377" t="s">
        <v>446</v>
      </c>
      <c r="C377" t="s">
        <v>68</v>
      </c>
      <c r="D377" t="s">
        <v>42</v>
      </c>
      <c r="E377" t="s">
        <v>43</v>
      </c>
      <c r="F377" s="3">
        <v>764.91</v>
      </c>
      <c r="G377" t="s">
        <v>36</v>
      </c>
      <c r="H377" t="s">
        <v>58</v>
      </c>
      <c r="I377">
        <v>45</v>
      </c>
      <c r="J377" s="2">
        <v>46198</v>
      </c>
      <c r="K377" t="s">
        <v>50</v>
      </c>
      <c r="L377" s="2">
        <v>46198</v>
      </c>
      <c r="M377" s="3">
        <v>764.91</v>
      </c>
      <c r="N377" s="3">
        <v>0</v>
      </c>
      <c r="O377">
        <v>0</v>
      </c>
      <c r="P377" t="s">
        <v>406</v>
      </c>
    </row>
    <row r="378" spans="1:16">
      <c r="A378" s="2">
        <v>46153</v>
      </c>
      <c r="B378" t="s">
        <v>447</v>
      </c>
      <c r="C378" t="s">
        <v>68</v>
      </c>
      <c r="D378" t="s">
        <v>42</v>
      </c>
      <c r="E378" t="s">
        <v>43</v>
      </c>
      <c r="F378" s="3">
        <v>3886.68</v>
      </c>
      <c r="G378" t="s">
        <v>49</v>
      </c>
      <c r="H378" t="s">
        <v>37</v>
      </c>
      <c r="I378">
        <v>30</v>
      </c>
      <c r="J378" s="2">
        <v>46183</v>
      </c>
      <c r="K378" t="s">
        <v>50</v>
      </c>
      <c r="L378" s="2">
        <v>46189</v>
      </c>
      <c r="M378" s="3">
        <v>3886.68</v>
      </c>
      <c r="N378" s="3">
        <v>0</v>
      </c>
      <c r="O378">
        <v>0</v>
      </c>
      <c r="P378" t="s">
        <v>406</v>
      </c>
    </row>
    <row r="379" spans="1:16">
      <c r="A379" s="2">
        <v>46153</v>
      </c>
      <c r="B379" t="s">
        <v>448</v>
      </c>
      <c r="C379" t="s">
        <v>56</v>
      </c>
      <c r="D379" t="s">
        <v>34</v>
      </c>
      <c r="E379" t="s">
        <v>43</v>
      </c>
      <c r="F379" s="3">
        <v>4123.38</v>
      </c>
      <c r="G379" t="s">
        <v>44</v>
      </c>
      <c r="H379" t="s">
        <v>62</v>
      </c>
      <c r="I379">
        <v>15</v>
      </c>
      <c r="J379" s="2">
        <v>46168</v>
      </c>
      <c r="K379" t="s">
        <v>50</v>
      </c>
      <c r="L379" s="2">
        <v>46177</v>
      </c>
      <c r="M379" s="3">
        <v>4123.38</v>
      </c>
      <c r="N379" s="3">
        <v>0</v>
      </c>
      <c r="O379">
        <v>0</v>
      </c>
      <c r="P379" t="s">
        <v>406</v>
      </c>
    </row>
    <row r="380" spans="1:16">
      <c r="A380" s="2">
        <v>46154</v>
      </c>
      <c r="B380" t="s">
        <v>449</v>
      </c>
      <c r="C380" t="s">
        <v>61</v>
      </c>
      <c r="D380" t="s">
        <v>52</v>
      </c>
      <c r="E380" t="s">
        <v>53</v>
      </c>
      <c r="F380" s="3">
        <v>657.22</v>
      </c>
      <c r="G380" t="s">
        <v>44</v>
      </c>
      <c r="H380" t="s">
        <v>66</v>
      </c>
      <c r="I380">
        <v>30</v>
      </c>
      <c r="J380" s="2">
        <v>46184</v>
      </c>
      <c r="K380" t="s">
        <v>50</v>
      </c>
      <c r="L380" s="2">
        <v>46184</v>
      </c>
      <c r="M380" s="3">
        <v>657.22</v>
      </c>
      <c r="N380" s="3">
        <v>0</v>
      </c>
      <c r="O380">
        <v>0</v>
      </c>
      <c r="P380" t="s">
        <v>406</v>
      </c>
    </row>
    <row r="381" spans="1:16">
      <c r="A381" s="2">
        <v>46154</v>
      </c>
      <c r="B381" t="s">
        <v>450</v>
      </c>
      <c r="C381" t="s">
        <v>90</v>
      </c>
      <c r="D381" t="s">
        <v>52</v>
      </c>
      <c r="E381" t="s">
        <v>57</v>
      </c>
      <c r="F381" s="3">
        <v>1074.6400000000001</v>
      </c>
      <c r="G381" t="s">
        <v>44</v>
      </c>
      <c r="H381" t="s">
        <v>66</v>
      </c>
      <c r="I381">
        <v>30</v>
      </c>
      <c r="J381" s="2">
        <v>46184</v>
      </c>
      <c r="K381" t="s">
        <v>50</v>
      </c>
      <c r="L381" s="2">
        <v>46184</v>
      </c>
      <c r="M381" s="3">
        <v>1074.6400000000001</v>
      </c>
      <c r="N381" s="3">
        <v>0</v>
      </c>
      <c r="O381">
        <v>0</v>
      </c>
      <c r="P381" t="s">
        <v>406</v>
      </c>
    </row>
    <row r="382" spans="1:16">
      <c r="A382" s="2">
        <v>46154</v>
      </c>
      <c r="B382" t="s">
        <v>451</v>
      </c>
      <c r="C382" t="s">
        <v>47</v>
      </c>
      <c r="D382" t="s">
        <v>65</v>
      </c>
      <c r="E382" t="s">
        <v>48</v>
      </c>
      <c r="F382" s="3">
        <v>2229.6999999999998</v>
      </c>
      <c r="G382" t="s">
        <v>49</v>
      </c>
      <c r="H382" t="s">
        <v>45</v>
      </c>
      <c r="I382">
        <v>30</v>
      </c>
      <c r="J382" s="2">
        <v>46184</v>
      </c>
      <c r="K382" t="s">
        <v>38</v>
      </c>
      <c r="L382" s="2"/>
      <c r="M382" s="3">
        <v>0</v>
      </c>
      <c r="N382" s="3">
        <v>2229.6999999999998</v>
      </c>
      <c r="O382">
        <v>0</v>
      </c>
      <c r="P382" t="s">
        <v>406</v>
      </c>
    </row>
    <row r="383" spans="1:16">
      <c r="A383" s="2">
        <v>46156</v>
      </c>
      <c r="B383" t="s">
        <v>452</v>
      </c>
      <c r="C383" t="s">
        <v>33</v>
      </c>
      <c r="D383" t="s">
        <v>52</v>
      </c>
      <c r="E383" t="s">
        <v>43</v>
      </c>
      <c r="F383" s="3">
        <v>1805.65</v>
      </c>
      <c r="G383" t="s">
        <v>49</v>
      </c>
      <c r="H383" t="s">
        <v>62</v>
      </c>
      <c r="I383">
        <v>30</v>
      </c>
      <c r="J383" s="2">
        <v>46186</v>
      </c>
      <c r="K383" t="s">
        <v>50</v>
      </c>
      <c r="L383" s="2">
        <v>46191</v>
      </c>
      <c r="M383" s="3">
        <v>1805.65</v>
      </c>
      <c r="N383" s="3">
        <v>0</v>
      </c>
      <c r="O383">
        <v>0</v>
      </c>
      <c r="P383" t="s">
        <v>406</v>
      </c>
    </row>
    <row r="384" spans="1:16">
      <c r="A384" s="2">
        <v>46156</v>
      </c>
      <c r="B384" t="s">
        <v>453</v>
      </c>
      <c r="C384" t="s">
        <v>61</v>
      </c>
      <c r="D384" t="s">
        <v>42</v>
      </c>
      <c r="E384" t="s">
        <v>48</v>
      </c>
      <c r="F384" s="3">
        <v>1397.77</v>
      </c>
      <c r="G384" t="s">
        <v>44</v>
      </c>
      <c r="H384" t="s">
        <v>58</v>
      </c>
      <c r="I384">
        <v>30</v>
      </c>
      <c r="J384" s="2">
        <v>46186</v>
      </c>
      <c r="K384" t="s">
        <v>72</v>
      </c>
      <c r="L384" s="2"/>
      <c r="M384" s="3">
        <v>0</v>
      </c>
      <c r="N384" s="3">
        <v>1397.77</v>
      </c>
      <c r="O384">
        <v>72</v>
      </c>
      <c r="P384" t="s">
        <v>406</v>
      </c>
    </row>
    <row r="385" spans="1:16">
      <c r="A385" s="2">
        <v>46157</v>
      </c>
      <c r="B385" t="s">
        <v>454</v>
      </c>
      <c r="C385" t="s">
        <v>90</v>
      </c>
      <c r="D385" t="s">
        <v>34</v>
      </c>
      <c r="E385" t="s">
        <v>43</v>
      </c>
      <c r="F385" s="3">
        <v>840.01</v>
      </c>
      <c r="G385" t="s">
        <v>36</v>
      </c>
      <c r="H385" t="s">
        <v>62</v>
      </c>
      <c r="I385">
        <v>30</v>
      </c>
      <c r="J385" s="2">
        <v>46187</v>
      </c>
      <c r="K385" t="s">
        <v>72</v>
      </c>
      <c r="L385" s="2"/>
      <c r="M385" s="3">
        <v>0</v>
      </c>
      <c r="N385" s="3">
        <v>840.01</v>
      </c>
      <c r="O385">
        <v>71</v>
      </c>
      <c r="P385" t="s">
        <v>406</v>
      </c>
    </row>
    <row r="386" spans="1:16">
      <c r="A386" s="2">
        <v>46157</v>
      </c>
      <c r="B386" t="s">
        <v>455</v>
      </c>
      <c r="C386" t="s">
        <v>41</v>
      </c>
      <c r="D386" t="s">
        <v>65</v>
      </c>
      <c r="E386" t="s">
        <v>53</v>
      </c>
      <c r="F386" s="3">
        <v>972.6</v>
      </c>
      <c r="G386" t="s">
        <v>44</v>
      </c>
      <c r="H386" t="s">
        <v>66</v>
      </c>
      <c r="I386">
        <v>15</v>
      </c>
      <c r="J386" s="2">
        <v>46172</v>
      </c>
      <c r="K386" t="s">
        <v>38</v>
      </c>
      <c r="L386" s="2"/>
      <c r="M386" s="3">
        <v>0</v>
      </c>
      <c r="N386" s="3">
        <v>972.6</v>
      </c>
      <c r="O386">
        <v>0</v>
      </c>
      <c r="P386" t="s">
        <v>406</v>
      </c>
    </row>
    <row r="387" spans="1:16">
      <c r="A387" s="2">
        <v>46157</v>
      </c>
      <c r="B387" t="s">
        <v>456</v>
      </c>
      <c r="C387" t="s">
        <v>41</v>
      </c>
      <c r="D387" t="s">
        <v>52</v>
      </c>
      <c r="E387" t="s">
        <v>48</v>
      </c>
      <c r="F387" s="3">
        <v>1556.36</v>
      </c>
      <c r="G387" t="s">
        <v>36</v>
      </c>
      <c r="H387" t="s">
        <v>58</v>
      </c>
      <c r="I387">
        <v>15</v>
      </c>
      <c r="J387" s="2">
        <v>46172</v>
      </c>
      <c r="K387" t="s">
        <v>38</v>
      </c>
      <c r="L387" s="2"/>
      <c r="M387" s="3">
        <v>0</v>
      </c>
      <c r="N387" s="3">
        <v>1556.36</v>
      </c>
      <c r="O387">
        <v>0</v>
      </c>
      <c r="P387" t="s">
        <v>406</v>
      </c>
    </row>
    <row r="388" spans="1:16">
      <c r="A388" s="2">
        <v>46157</v>
      </c>
      <c r="B388" t="s">
        <v>457</v>
      </c>
      <c r="C388" t="s">
        <v>56</v>
      </c>
      <c r="D388" t="s">
        <v>52</v>
      </c>
      <c r="E388" t="s">
        <v>48</v>
      </c>
      <c r="F388" s="3">
        <v>2686.73</v>
      </c>
      <c r="G388" t="s">
        <v>44</v>
      </c>
      <c r="H388" t="s">
        <v>45</v>
      </c>
      <c r="I388">
        <v>45</v>
      </c>
      <c r="J388" s="2">
        <v>46202</v>
      </c>
      <c r="K388" t="s">
        <v>50</v>
      </c>
      <c r="L388" s="2">
        <v>46203</v>
      </c>
      <c r="M388" s="3">
        <v>2686.73</v>
      </c>
      <c r="N388" s="3">
        <v>0</v>
      </c>
      <c r="O388">
        <v>0</v>
      </c>
      <c r="P388" t="s">
        <v>406</v>
      </c>
    </row>
    <row r="389" spans="1:16">
      <c r="A389" s="2">
        <v>46158</v>
      </c>
      <c r="B389" t="s">
        <v>458</v>
      </c>
      <c r="C389" t="s">
        <v>47</v>
      </c>
      <c r="D389" t="s">
        <v>65</v>
      </c>
      <c r="E389" t="s">
        <v>43</v>
      </c>
      <c r="F389" s="3">
        <v>1088.5999999999999</v>
      </c>
      <c r="G389" t="s">
        <v>36</v>
      </c>
      <c r="H389" t="s">
        <v>37</v>
      </c>
      <c r="I389">
        <v>30</v>
      </c>
      <c r="J389" s="2">
        <v>46188</v>
      </c>
      <c r="K389" t="s">
        <v>50</v>
      </c>
      <c r="L389" s="2">
        <v>46189</v>
      </c>
      <c r="M389" s="3">
        <v>1088.5999999999999</v>
      </c>
      <c r="N389" s="3">
        <v>0</v>
      </c>
      <c r="O389">
        <v>0</v>
      </c>
      <c r="P389" t="s">
        <v>406</v>
      </c>
    </row>
    <row r="390" spans="1:16">
      <c r="A390" s="2">
        <v>46158</v>
      </c>
      <c r="B390" t="s">
        <v>459</v>
      </c>
      <c r="C390" t="s">
        <v>80</v>
      </c>
      <c r="D390" t="s">
        <v>65</v>
      </c>
      <c r="E390" t="s">
        <v>57</v>
      </c>
      <c r="F390" s="3">
        <v>990.48</v>
      </c>
      <c r="G390" t="s">
        <v>71</v>
      </c>
      <c r="H390" t="s">
        <v>62</v>
      </c>
      <c r="I390">
        <v>30</v>
      </c>
      <c r="J390" s="2">
        <v>46188</v>
      </c>
      <c r="K390" t="s">
        <v>50</v>
      </c>
      <c r="L390" s="2">
        <v>46196</v>
      </c>
      <c r="M390" s="3">
        <v>990.48</v>
      </c>
      <c r="N390" s="3">
        <v>0</v>
      </c>
      <c r="O390">
        <v>0</v>
      </c>
      <c r="P390" t="s">
        <v>406</v>
      </c>
    </row>
    <row r="391" spans="1:16">
      <c r="A391" s="2">
        <v>46158</v>
      </c>
      <c r="B391" t="s">
        <v>460</v>
      </c>
      <c r="C391" t="s">
        <v>68</v>
      </c>
      <c r="D391" t="s">
        <v>34</v>
      </c>
      <c r="E391" t="s">
        <v>43</v>
      </c>
      <c r="F391" s="3">
        <v>524.92999999999995</v>
      </c>
      <c r="G391" t="s">
        <v>44</v>
      </c>
      <c r="H391" t="s">
        <v>45</v>
      </c>
      <c r="I391">
        <v>15</v>
      </c>
      <c r="J391" s="2">
        <v>46173</v>
      </c>
      <c r="K391" t="s">
        <v>72</v>
      </c>
      <c r="L391" s="2"/>
      <c r="M391" s="3">
        <v>0</v>
      </c>
      <c r="N391" s="3">
        <v>524.92999999999995</v>
      </c>
      <c r="O391">
        <v>85</v>
      </c>
      <c r="P391" t="s">
        <v>406</v>
      </c>
    </row>
    <row r="392" spans="1:16">
      <c r="A392" s="2">
        <v>46159</v>
      </c>
      <c r="B392" t="s">
        <v>461</v>
      </c>
      <c r="C392" t="s">
        <v>82</v>
      </c>
      <c r="D392" t="s">
        <v>52</v>
      </c>
      <c r="E392" t="s">
        <v>35</v>
      </c>
      <c r="F392" s="3">
        <v>1590.07</v>
      </c>
      <c r="G392" t="s">
        <v>44</v>
      </c>
      <c r="H392" t="s">
        <v>62</v>
      </c>
      <c r="I392">
        <v>30</v>
      </c>
      <c r="J392" s="2">
        <v>46189</v>
      </c>
      <c r="K392" t="s">
        <v>50</v>
      </c>
      <c r="L392" s="2">
        <v>46189</v>
      </c>
      <c r="M392" s="3">
        <v>1590.07</v>
      </c>
      <c r="N392" s="3">
        <v>0</v>
      </c>
      <c r="O392">
        <v>0</v>
      </c>
      <c r="P392" t="s">
        <v>406</v>
      </c>
    </row>
    <row r="393" spans="1:16">
      <c r="A393" s="2">
        <v>46159</v>
      </c>
      <c r="B393" t="s">
        <v>462</v>
      </c>
      <c r="C393" t="s">
        <v>82</v>
      </c>
      <c r="D393" t="s">
        <v>42</v>
      </c>
      <c r="E393" t="s">
        <v>48</v>
      </c>
      <c r="F393" s="3">
        <v>1439.8</v>
      </c>
      <c r="G393" t="s">
        <v>44</v>
      </c>
      <c r="H393" t="s">
        <v>66</v>
      </c>
      <c r="I393">
        <v>15</v>
      </c>
      <c r="J393" s="2">
        <v>46174</v>
      </c>
      <c r="K393" t="s">
        <v>50</v>
      </c>
      <c r="L393" s="2">
        <v>46177</v>
      </c>
      <c r="M393" s="3">
        <v>1439.8</v>
      </c>
      <c r="N393" s="3">
        <v>0</v>
      </c>
      <c r="O393">
        <v>0</v>
      </c>
      <c r="P393" t="s">
        <v>406</v>
      </c>
    </row>
    <row r="394" spans="1:16">
      <c r="A394" s="2">
        <v>46159</v>
      </c>
      <c r="B394" t="s">
        <v>463</v>
      </c>
      <c r="C394" t="s">
        <v>61</v>
      </c>
      <c r="D394" t="s">
        <v>65</v>
      </c>
      <c r="E394" t="s">
        <v>48</v>
      </c>
      <c r="F394" s="3">
        <v>2673.63</v>
      </c>
      <c r="G394" t="s">
        <v>36</v>
      </c>
      <c r="H394" t="s">
        <v>69</v>
      </c>
      <c r="I394">
        <v>15</v>
      </c>
      <c r="J394" s="2">
        <v>46174</v>
      </c>
      <c r="K394" t="s">
        <v>50</v>
      </c>
      <c r="L394" s="2">
        <v>46184</v>
      </c>
      <c r="M394" s="3">
        <v>2673.63</v>
      </c>
      <c r="N394" s="3">
        <v>0</v>
      </c>
      <c r="O394">
        <v>0</v>
      </c>
      <c r="P394" t="s">
        <v>406</v>
      </c>
    </row>
    <row r="395" spans="1:16">
      <c r="A395" s="2">
        <v>46159</v>
      </c>
      <c r="B395" t="s">
        <v>464</v>
      </c>
      <c r="C395" t="s">
        <v>68</v>
      </c>
      <c r="D395" t="s">
        <v>52</v>
      </c>
      <c r="E395" t="s">
        <v>43</v>
      </c>
      <c r="F395" s="3">
        <v>2381.65</v>
      </c>
      <c r="G395" t="s">
        <v>36</v>
      </c>
      <c r="H395" t="s">
        <v>45</v>
      </c>
      <c r="I395">
        <v>30</v>
      </c>
      <c r="J395" s="2">
        <v>46189</v>
      </c>
      <c r="K395" t="s">
        <v>50</v>
      </c>
      <c r="L395" s="2">
        <v>46198</v>
      </c>
      <c r="M395" s="3">
        <v>2381.65</v>
      </c>
      <c r="N395" s="3">
        <v>0</v>
      </c>
      <c r="O395">
        <v>0</v>
      </c>
      <c r="P395" t="s">
        <v>406</v>
      </c>
    </row>
    <row r="396" spans="1:16">
      <c r="A396" s="2">
        <v>46160</v>
      </c>
      <c r="B396" t="s">
        <v>465</v>
      </c>
      <c r="C396" t="s">
        <v>68</v>
      </c>
      <c r="D396" t="s">
        <v>34</v>
      </c>
      <c r="E396" t="s">
        <v>53</v>
      </c>
      <c r="F396" s="3">
        <v>1744.03</v>
      </c>
      <c r="G396" t="s">
        <v>49</v>
      </c>
      <c r="H396" t="s">
        <v>62</v>
      </c>
      <c r="I396">
        <v>15</v>
      </c>
      <c r="J396" s="2">
        <v>46175</v>
      </c>
      <c r="K396" t="s">
        <v>50</v>
      </c>
      <c r="L396" s="2">
        <v>46184</v>
      </c>
      <c r="M396" s="3">
        <v>1744.03</v>
      </c>
      <c r="N396" s="3">
        <v>0</v>
      </c>
      <c r="O396">
        <v>0</v>
      </c>
      <c r="P396" t="s">
        <v>406</v>
      </c>
    </row>
    <row r="397" spans="1:16">
      <c r="A397" s="2">
        <v>46161</v>
      </c>
      <c r="B397" t="s">
        <v>466</v>
      </c>
      <c r="C397" t="s">
        <v>47</v>
      </c>
      <c r="D397" t="s">
        <v>65</v>
      </c>
      <c r="E397" t="s">
        <v>57</v>
      </c>
      <c r="F397" s="3">
        <v>2150.61</v>
      </c>
      <c r="G397" t="s">
        <v>49</v>
      </c>
      <c r="H397" t="s">
        <v>45</v>
      </c>
      <c r="I397">
        <v>30</v>
      </c>
      <c r="J397" s="2">
        <v>46191</v>
      </c>
      <c r="K397" t="s">
        <v>50</v>
      </c>
      <c r="L397" s="2">
        <v>46194</v>
      </c>
      <c r="M397" s="3">
        <v>2150.61</v>
      </c>
      <c r="N397" s="3">
        <v>0</v>
      </c>
      <c r="O397">
        <v>0</v>
      </c>
      <c r="P397" t="s">
        <v>406</v>
      </c>
    </row>
    <row r="398" spans="1:16">
      <c r="A398" s="2">
        <v>46161</v>
      </c>
      <c r="B398" t="s">
        <v>467</v>
      </c>
      <c r="C398" t="s">
        <v>80</v>
      </c>
      <c r="D398" t="s">
        <v>42</v>
      </c>
      <c r="E398" t="s">
        <v>35</v>
      </c>
      <c r="F398" s="3">
        <v>1858.42</v>
      </c>
      <c r="G398" t="s">
        <v>44</v>
      </c>
      <c r="H398" t="s">
        <v>66</v>
      </c>
      <c r="I398">
        <v>15</v>
      </c>
      <c r="J398" s="2">
        <v>46176</v>
      </c>
      <c r="K398" t="s">
        <v>50</v>
      </c>
      <c r="L398" s="2">
        <v>46187</v>
      </c>
      <c r="M398" s="3">
        <v>1858.42</v>
      </c>
      <c r="N398" s="3">
        <v>0</v>
      </c>
      <c r="O398">
        <v>0</v>
      </c>
      <c r="P398" t="s">
        <v>406</v>
      </c>
    </row>
    <row r="399" spans="1:16">
      <c r="A399" s="2">
        <v>46162</v>
      </c>
      <c r="B399" t="s">
        <v>468</v>
      </c>
      <c r="C399" t="s">
        <v>47</v>
      </c>
      <c r="D399" t="s">
        <v>52</v>
      </c>
      <c r="E399" t="s">
        <v>48</v>
      </c>
      <c r="F399" s="3">
        <v>873.94</v>
      </c>
      <c r="G399" t="s">
        <v>44</v>
      </c>
      <c r="H399" t="s">
        <v>66</v>
      </c>
      <c r="I399">
        <v>30</v>
      </c>
      <c r="J399" s="2">
        <v>46192</v>
      </c>
      <c r="K399" t="s">
        <v>50</v>
      </c>
      <c r="L399" s="2">
        <v>46196</v>
      </c>
      <c r="M399" s="3">
        <v>873.94</v>
      </c>
      <c r="N399" s="3">
        <v>0</v>
      </c>
      <c r="O399">
        <v>0</v>
      </c>
      <c r="P399" t="s">
        <v>406</v>
      </c>
    </row>
    <row r="400" spans="1:16">
      <c r="A400" s="2">
        <v>46162</v>
      </c>
      <c r="B400" t="s">
        <v>469</v>
      </c>
      <c r="C400" t="s">
        <v>82</v>
      </c>
      <c r="D400" t="s">
        <v>34</v>
      </c>
      <c r="E400" t="s">
        <v>53</v>
      </c>
      <c r="F400" s="3">
        <v>5792.83</v>
      </c>
      <c r="G400" t="s">
        <v>49</v>
      </c>
      <c r="H400" t="s">
        <v>69</v>
      </c>
      <c r="I400">
        <v>7</v>
      </c>
      <c r="J400" s="2">
        <v>46169</v>
      </c>
      <c r="K400" t="s">
        <v>72</v>
      </c>
      <c r="L400" s="2"/>
      <c r="M400" s="3">
        <v>0</v>
      </c>
      <c r="N400" s="3">
        <v>5792.83</v>
      </c>
      <c r="O400">
        <v>89</v>
      </c>
      <c r="P400" t="s">
        <v>406</v>
      </c>
    </row>
    <row r="401" spans="1:16">
      <c r="A401" s="2">
        <v>46162</v>
      </c>
      <c r="B401" t="s">
        <v>470</v>
      </c>
      <c r="C401" t="s">
        <v>61</v>
      </c>
      <c r="D401" t="s">
        <v>34</v>
      </c>
      <c r="E401" t="s">
        <v>53</v>
      </c>
      <c r="F401" s="3">
        <v>2237.1</v>
      </c>
      <c r="G401" t="s">
        <v>71</v>
      </c>
      <c r="H401" t="s">
        <v>37</v>
      </c>
      <c r="I401">
        <v>15</v>
      </c>
      <c r="J401" s="2">
        <v>46177</v>
      </c>
      <c r="K401" t="s">
        <v>72</v>
      </c>
      <c r="L401" s="2"/>
      <c r="M401" s="3">
        <v>0</v>
      </c>
      <c r="N401" s="3">
        <v>2237.1</v>
      </c>
      <c r="O401">
        <v>81</v>
      </c>
      <c r="P401" t="s">
        <v>406</v>
      </c>
    </row>
    <row r="402" spans="1:16">
      <c r="A402" s="2">
        <v>46163</v>
      </c>
      <c r="B402" t="s">
        <v>471</v>
      </c>
      <c r="C402" t="s">
        <v>80</v>
      </c>
      <c r="D402" t="s">
        <v>52</v>
      </c>
      <c r="E402" t="s">
        <v>48</v>
      </c>
      <c r="F402" s="3">
        <v>1199.5899999999999</v>
      </c>
      <c r="G402" t="s">
        <v>36</v>
      </c>
      <c r="H402" t="s">
        <v>69</v>
      </c>
      <c r="I402">
        <v>7</v>
      </c>
      <c r="J402" s="2">
        <v>46170</v>
      </c>
      <c r="K402" t="s">
        <v>50</v>
      </c>
      <c r="L402" s="2">
        <v>46178</v>
      </c>
      <c r="M402" s="3">
        <v>1199.5899999999999</v>
      </c>
      <c r="N402" s="3">
        <v>0</v>
      </c>
      <c r="O402">
        <v>0</v>
      </c>
      <c r="P402" t="s">
        <v>406</v>
      </c>
    </row>
    <row r="403" spans="1:16">
      <c r="A403" s="2">
        <v>46164</v>
      </c>
      <c r="B403" t="s">
        <v>472</v>
      </c>
      <c r="C403" t="s">
        <v>84</v>
      </c>
      <c r="D403" t="s">
        <v>65</v>
      </c>
      <c r="E403" t="s">
        <v>57</v>
      </c>
      <c r="F403" s="3">
        <v>2845.12</v>
      </c>
      <c r="G403" t="s">
        <v>71</v>
      </c>
      <c r="H403" t="s">
        <v>58</v>
      </c>
      <c r="I403">
        <v>30</v>
      </c>
      <c r="J403" s="2">
        <v>46194</v>
      </c>
      <c r="K403" t="s">
        <v>50</v>
      </c>
      <c r="L403" s="2">
        <v>46202</v>
      </c>
      <c r="M403" s="3">
        <v>2845.12</v>
      </c>
      <c r="N403" s="3">
        <v>0</v>
      </c>
      <c r="O403">
        <v>0</v>
      </c>
      <c r="P403" t="s">
        <v>406</v>
      </c>
    </row>
    <row r="404" spans="1:16">
      <c r="A404" s="2">
        <v>46164</v>
      </c>
      <c r="B404" t="s">
        <v>473</v>
      </c>
      <c r="C404" t="s">
        <v>82</v>
      </c>
      <c r="D404" t="s">
        <v>52</v>
      </c>
      <c r="E404" t="s">
        <v>57</v>
      </c>
      <c r="F404" s="3">
        <v>666.64</v>
      </c>
      <c r="G404" t="s">
        <v>36</v>
      </c>
      <c r="H404" t="s">
        <v>69</v>
      </c>
      <c r="I404">
        <v>15</v>
      </c>
      <c r="J404" s="2">
        <v>46179</v>
      </c>
      <c r="K404" t="s">
        <v>50</v>
      </c>
      <c r="L404" s="2">
        <v>46183</v>
      </c>
      <c r="M404" s="3">
        <v>666.64</v>
      </c>
      <c r="N404" s="3">
        <v>0</v>
      </c>
      <c r="O404">
        <v>0</v>
      </c>
      <c r="P404" t="s">
        <v>406</v>
      </c>
    </row>
    <row r="405" spans="1:16">
      <c r="A405" s="2">
        <v>46164</v>
      </c>
      <c r="B405" t="s">
        <v>474</v>
      </c>
      <c r="C405" t="s">
        <v>68</v>
      </c>
      <c r="D405" t="s">
        <v>42</v>
      </c>
      <c r="E405" t="s">
        <v>57</v>
      </c>
      <c r="F405" s="3">
        <v>1659.71</v>
      </c>
      <c r="G405" t="s">
        <v>71</v>
      </c>
      <c r="H405" t="s">
        <v>37</v>
      </c>
      <c r="I405">
        <v>30</v>
      </c>
      <c r="J405" s="2">
        <v>46194</v>
      </c>
      <c r="K405" t="s">
        <v>50</v>
      </c>
      <c r="L405" s="2">
        <v>46202</v>
      </c>
      <c r="M405" s="3">
        <v>1659.71</v>
      </c>
      <c r="N405" s="3">
        <v>0</v>
      </c>
      <c r="O405">
        <v>0</v>
      </c>
      <c r="P405" t="s">
        <v>406</v>
      </c>
    </row>
    <row r="406" spans="1:16">
      <c r="A406" s="2">
        <v>46165</v>
      </c>
      <c r="B406" t="s">
        <v>475</v>
      </c>
      <c r="C406" t="s">
        <v>47</v>
      </c>
      <c r="D406" t="s">
        <v>65</v>
      </c>
      <c r="E406" t="s">
        <v>57</v>
      </c>
      <c r="F406" s="3">
        <v>957.61</v>
      </c>
      <c r="G406" t="s">
        <v>49</v>
      </c>
      <c r="H406" t="s">
        <v>58</v>
      </c>
      <c r="I406">
        <v>15</v>
      </c>
      <c r="J406" s="2">
        <v>46180</v>
      </c>
      <c r="K406" t="s">
        <v>50</v>
      </c>
      <c r="L406" s="2">
        <v>46185</v>
      </c>
      <c r="M406" s="3">
        <v>957.61</v>
      </c>
      <c r="N406" s="3">
        <v>0</v>
      </c>
      <c r="O406">
        <v>0</v>
      </c>
      <c r="P406" t="s">
        <v>406</v>
      </c>
    </row>
    <row r="407" spans="1:16">
      <c r="A407" s="2">
        <v>46165</v>
      </c>
      <c r="B407" t="s">
        <v>476</v>
      </c>
      <c r="C407" t="s">
        <v>80</v>
      </c>
      <c r="D407" t="s">
        <v>52</v>
      </c>
      <c r="E407" t="s">
        <v>43</v>
      </c>
      <c r="F407" s="3">
        <v>644.97</v>
      </c>
      <c r="G407" t="s">
        <v>44</v>
      </c>
      <c r="H407" t="s">
        <v>69</v>
      </c>
      <c r="I407">
        <v>15</v>
      </c>
      <c r="J407" s="2">
        <v>46180</v>
      </c>
      <c r="K407" t="s">
        <v>50</v>
      </c>
      <c r="L407" s="2">
        <v>46186</v>
      </c>
      <c r="M407" s="3">
        <v>644.97</v>
      </c>
      <c r="N407" s="3">
        <v>0</v>
      </c>
      <c r="O407">
        <v>0</v>
      </c>
      <c r="P407" t="s">
        <v>406</v>
      </c>
    </row>
    <row r="408" spans="1:16">
      <c r="A408" s="2">
        <v>46166</v>
      </c>
      <c r="B408" t="s">
        <v>477</v>
      </c>
      <c r="C408" t="s">
        <v>64</v>
      </c>
      <c r="D408" t="s">
        <v>34</v>
      </c>
      <c r="E408" t="s">
        <v>35</v>
      </c>
      <c r="F408" s="3">
        <v>918.72</v>
      </c>
      <c r="G408" t="s">
        <v>36</v>
      </c>
      <c r="H408" t="s">
        <v>37</v>
      </c>
      <c r="I408">
        <v>30</v>
      </c>
      <c r="J408" s="2">
        <v>46196</v>
      </c>
      <c r="K408" t="s">
        <v>50</v>
      </c>
      <c r="L408" s="2">
        <v>46206</v>
      </c>
      <c r="M408" s="3">
        <v>918.72</v>
      </c>
      <c r="N408" s="3">
        <v>0</v>
      </c>
      <c r="O408">
        <v>0</v>
      </c>
      <c r="P408" t="s">
        <v>406</v>
      </c>
    </row>
    <row r="409" spans="1:16">
      <c r="A409" s="2">
        <v>46166</v>
      </c>
      <c r="B409" t="s">
        <v>478</v>
      </c>
      <c r="C409" t="s">
        <v>90</v>
      </c>
      <c r="D409" t="s">
        <v>65</v>
      </c>
      <c r="E409" t="s">
        <v>35</v>
      </c>
      <c r="F409" s="3">
        <v>665.86</v>
      </c>
      <c r="G409" t="s">
        <v>36</v>
      </c>
      <c r="H409" t="s">
        <v>58</v>
      </c>
      <c r="I409">
        <v>30</v>
      </c>
      <c r="J409" s="2">
        <v>46196</v>
      </c>
      <c r="K409" t="s">
        <v>50</v>
      </c>
      <c r="L409" s="2">
        <v>46202</v>
      </c>
      <c r="M409" s="3">
        <v>665.86</v>
      </c>
      <c r="N409" s="3">
        <v>0</v>
      </c>
      <c r="O409">
        <v>0</v>
      </c>
      <c r="P409" t="s">
        <v>406</v>
      </c>
    </row>
    <row r="410" spans="1:16">
      <c r="A410" s="2">
        <v>46166</v>
      </c>
      <c r="B410" t="s">
        <v>479</v>
      </c>
      <c r="C410" t="s">
        <v>61</v>
      </c>
      <c r="D410" t="s">
        <v>34</v>
      </c>
      <c r="E410" t="s">
        <v>48</v>
      </c>
      <c r="F410" s="3">
        <v>2732.27</v>
      </c>
      <c r="G410" t="s">
        <v>36</v>
      </c>
      <c r="H410" t="s">
        <v>58</v>
      </c>
      <c r="I410">
        <v>30</v>
      </c>
      <c r="J410" s="2">
        <v>46196</v>
      </c>
      <c r="K410" t="s">
        <v>50</v>
      </c>
      <c r="L410" s="2">
        <v>46197</v>
      </c>
      <c r="M410" s="3">
        <v>2732.27</v>
      </c>
      <c r="N410" s="3">
        <v>0</v>
      </c>
      <c r="O410">
        <v>0</v>
      </c>
      <c r="P410" t="s">
        <v>406</v>
      </c>
    </row>
    <row r="411" spans="1:16">
      <c r="A411" s="2">
        <v>46166</v>
      </c>
      <c r="B411" t="s">
        <v>480</v>
      </c>
      <c r="C411" t="s">
        <v>61</v>
      </c>
      <c r="D411" t="s">
        <v>42</v>
      </c>
      <c r="E411" t="s">
        <v>43</v>
      </c>
      <c r="F411" s="3">
        <v>596.51</v>
      </c>
      <c r="G411" t="s">
        <v>36</v>
      </c>
      <c r="H411" t="s">
        <v>37</v>
      </c>
      <c r="I411">
        <v>30</v>
      </c>
      <c r="J411" s="2">
        <v>46196</v>
      </c>
      <c r="K411" t="s">
        <v>50</v>
      </c>
      <c r="L411" s="2">
        <v>46203</v>
      </c>
      <c r="M411" s="3">
        <v>596.51</v>
      </c>
      <c r="N411" s="3">
        <v>0</v>
      </c>
      <c r="O411">
        <v>0</v>
      </c>
      <c r="P411" t="s">
        <v>406</v>
      </c>
    </row>
    <row r="412" spans="1:16">
      <c r="A412" s="2">
        <v>46166</v>
      </c>
      <c r="B412" t="s">
        <v>481</v>
      </c>
      <c r="C412" t="s">
        <v>80</v>
      </c>
      <c r="D412" t="s">
        <v>52</v>
      </c>
      <c r="E412" t="s">
        <v>53</v>
      </c>
      <c r="F412" s="3">
        <v>2354.54</v>
      </c>
      <c r="G412" t="s">
        <v>44</v>
      </c>
      <c r="H412" t="s">
        <v>66</v>
      </c>
      <c r="I412">
        <v>30</v>
      </c>
      <c r="J412" s="2">
        <v>46196</v>
      </c>
      <c r="K412" t="s">
        <v>50</v>
      </c>
      <c r="L412" s="2">
        <v>46203</v>
      </c>
      <c r="M412" s="3">
        <v>2354.54</v>
      </c>
      <c r="N412" s="3">
        <v>0</v>
      </c>
      <c r="O412">
        <v>0</v>
      </c>
      <c r="P412" t="s">
        <v>406</v>
      </c>
    </row>
    <row r="413" spans="1:16">
      <c r="A413" s="2">
        <v>46166</v>
      </c>
      <c r="B413" t="s">
        <v>482</v>
      </c>
      <c r="C413" t="s">
        <v>68</v>
      </c>
      <c r="D413" t="s">
        <v>34</v>
      </c>
      <c r="E413" t="s">
        <v>57</v>
      </c>
      <c r="F413" s="3">
        <v>475.71</v>
      </c>
      <c r="G413" t="s">
        <v>44</v>
      </c>
      <c r="H413" t="s">
        <v>69</v>
      </c>
      <c r="I413">
        <v>30</v>
      </c>
      <c r="J413" s="2">
        <v>46196</v>
      </c>
      <c r="K413" t="s">
        <v>50</v>
      </c>
      <c r="L413" s="2">
        <v>46200</v>
      </c>
      <c r="M413" s="3">
        <v>475.71</v>
      </c>
      <c r="N413" s="3">
        <v>0</v>
      </c>
      <c r="O413">
        <v>0</v>
      </c>
      <c r="P413" t="s">
        <v>406</v>
      </c>
    </row>
    <row r="414" spans="1:16">
      <c r="A414" s="2">
        <v>46167</v>
      </c>
      <c r="B414" t="s">
        <v>483</v>
      </c>
      <c r="C414" t="s">
        <v>64</v>
      </c>
      <c r="D414" t="s">
        <v>52</v>
      </c>
      <c r="E414" t="s">
        <v>35</v>
      </c>
      <c r="F414" s="3">
        <v>3746.67</v>
      </c>
      <c r="G414" t="s">
        <v>36</v>
      </c>
      <c r="H414" t="s">
        <v>66</v>
      </c>
      <c r="I414">
        <v>30</v>
      </c>
      <c r="J414" s="2">
        <v>46197</v>
      </c>
      <c r="K414" t="s">
        <v>50</v>
      </c>
      <c r="L414" s="2">
        <v>46198</v>
      </c>
      <c r="M414" s="3">
        <v>3746.67</v>
      </c>
      <c r="N414" s="3">
        <v>0</v>
      </c>
      <c r="O414">
        <v>0</v>
      </c>
      <c r="P414" t="s">
        <v>406</v>
      </c>
    </row>
    <row r="415" spans="1:16">
      <c r="A415" s="2">
        <v>46167</v>
      </c>
      <c r="B415" t="s">
        <v>484</v>
      </c>
      <c r="C415" t="s">
        <v>33</v>
      </c>
      <c r="D415" t="s">
        <v>34</v>
      </c>
      <c r="E415" t="s">
        <v>48</v>
      </c>
      <c r="F415" s="3">
        <v>918.27</v>
      </c>
      <c r="G415" t="s">
        <v>36</v>
      </c>
      <c r="H415" t="s">
        <v>37</v>
      </c>
      <c r="I415">
        <v>30</v>
      </c>
      <c r="J415" s="2">
        <v>46197</v>
      </c>
      <c r="K415" t="s">
        <v>72</v>
      </c>
      <c r="L415" s="2"/>
      <c r="M415" s="3">
        <v>0</v>
      </c>
      <c r="N415" s="3">
        <v>918.27</v>
      </c>
      <c r="O415">
        <v>61</v>
      </c>
      <c r="P415" t="s">
        <v>406</v>
      </c>
    </row>
    <row r="416" spans="1:16">
      <c r="A416" s="2">
        <v>46167</v>
      </c>
      <c r="B416" t="s">
        <v>485</v>
      </c>
      <c r="C416" t="s">
        <v>56</v>
      </c>
      <c r="D416" t="s">
        <v>65</v>
      </c>
      <c r="E416" t="s">
        <v>35</v>
      </c>
      <c r="F416" s="3">
        <v>1249.77</v>
      </c>
      <c r="G416" t="s">
        <v>44</v>
      </c>
      <c r="H416" t="s">
        <v>37</v>
      </c>
      <c r="I416">
        <v>30</v>
      </c>
      <c r="J416" s="2">
        <v>46197</v>
      </c>
      <c r="K416" t="s">
        <v>50</v>
      </c>
      <c r="L416" s="2">
        <v>46207</v>
      </c>
      <c r="M416" s="3">
        <v>1249.77</v>
      </c>
      <c r="N416" s="3">
        <v>0</v>
      </c>
      <c r="O416">
        <v>0</v>
      </c>
      <c r="P416" t="s">
        <v>406</v>
      </c>
    </row>
    <row r="417" spans="1:16">
      <c r="A417" s="2">
        <v>46168</v>
      </c>
      <c r="B417" t="s">
        <v>486</v>
      </c>
      <c r="C417" t="s">
        <v>68</v>
      </c>
      <c r="D417" t="s">
        <v>52</v>
      </c>
      <c r="E417" t="s">
        <v>57</v>
      </c>
      <c r="F417" s="3">
        <v>489.46</v>
      </c>
      <c r="G417" t="s">
        <v>49</v>
      </c>
      <c r="H417" t="s">
        <v>58</v>
      </c>
      <c r="I417">
        <v>30</v>
      </c>
      <c r="J417" s="2">
        <v>46198</v>
      </c>
      <c r="K417" t="s">
        <v>50</v>
      </c>
      <c r="L417" s="2">
        <v>46207</v>
      </c>
      <c r="M417" s="3">
        <v>489.46</v>
      </c>
      <c r="N417" s="3">
        <v>0</v>
      </c>
      <c r="O417">
        <v>0</v>
      </c>
      <c r="P417" t="s">
        <v>406</v>
      </c>
    </row>
    <row r="418" spans="1:16">
      <c r="A418" s="2">
        <v>46168</v>
      </c>
      <c r="B418" t="s">
        <v>487</v>
      </c>
      <c r="C418" t="s">
        <v>41</v>
      </c>
      <c r="D418" t="s">
        <v>42</v>
      </c>
      <c r="E418" t="s">
        <v>48</v>
      </c>
      <c r="F418" s="3">
        <v>971.71</v>
      </c>
      <c r="G418" t="s">
        <v>36</v>
      </c>
      <c r="H418" t="s">
        <v>37</v>
      </c>
      <c r="I418">
        <v>7</v>
      </c>
      <c r="J418" s="2">
        <v>46175</v>
      </c>
      <c r="K418" t="s">
        <v>38</v>
      </c>
      <c r="L418" s="2"/>
      <c r="M418" s="3">
        <v>0</v>
      </c>
      <c r="N418" s="3">
        <v>971.71</v>
      </c>
      <c r="O418">
        <v>0</v>
      </c>
      <c r="P418" t="s">
        <v>406</v>
      </c>
    </row>
    <row r="419" spans="1:16">
      <c r="A419" s="2">
        <v>46169</v>
      </c>
      <c r="B419" t="s">
        <v>488</v>
      </c>
      <c r="C419" t="s">
        <v>61</v>
      </c>
      <c r="D419" t="s">
        <v>52</v>
      </c>
      <c r="E419" t="s">
        <v>43</v>
      </c>
      <c r="F419" s="3">
        <v>570.27</v>
      </c>
      <c r="G419" t="s">
        <v>36</v>
      </c>
      <c r="H419" t="s">
        <v>62</v>
      </c>
      <c r="I419">
        <v>30</v>
      </c>
      <c r="J419" s="2">
        <v>46199</v>
      </c>
      <c r="K419" t="s">
        <v>50</v>
      </c>
      <c r="L419" s="2">
        <v>46204</v>
      </c>
      <c r="M419" s="3">
        <v>570.27</v>
      </c>
      <c r="N419" s="3">
        <v>0</v>
      </c>
      <c r="O419">
        <v>0</v>
      </c>
      <c r="P419" t="s">
        <v>406</v>
      </c>
    </row>
    <row r="420" spans="1:16">
      <c r="A420" s="2">
        <v>46169</v>
      </c>
      <c r="B420" t="s">
        <v>489</v>
      </c>
      <c r="C420" t="s">
        <v>90</v>
      </c>
      <c r="D420" t="s">
        <v>52</v>
      </c>
      <c r="E420" t="s">
        <v>48</v>
      </c>
      <c r="F420" s="3">
        <v>1099.54</v>
      </c>
      <c r="G420" t="s">
        <v>71</v>
      </c>
      <c r="H420" t="s">
        <v>66</v>
      </c>
      <c r="I420">
        <v>15</v>
      </c>
      <c r="J420" s="2">
        <v>46184</v>
      </c>
      <c r="K420" t="s">
        <v>50</v>
      </c>
      <c r="L420" s="2">
        <v>46185</v>
      </c>
      <c r="M420" s="3">
        <v>1099.54</v>
      </c>
      <c r="N420" s="3">
        <v>0</v>
      </c>
      <c r="O420">
        <v>0</v>
      </c>
      <c r="P420" t="s">
        <v>406</v>
      </c>
    </row>
    <row r="421" spans="1:16">
      <c r="A421" s="2">
        <v>46169</v>
      </c>
      <c r="B421" t="s">
        <v>490</v>
      </c>
      <c r="C421" t="s">
        <v>80</v>
      </c>
      <c r="D421" t="s">
        <v>52</v>
      </c>
      <c r="E421" t="s">
        <v>53</v>
      </c>
      <c r="F421" s="3">
        <v>780.18</v>
      </c>
      <c r="G421" t="s">
        <v>44</v>
      </c>
      <c r="H421" t="s">
        <v>62</v>
      </c>
      <c r="I421">
        <v>7</v>
      </c>
      <c r="J421" s="2">
        <v>46176</v>
      </c>
      <c r="K421" t="s">
        <v>50</v>
      </c>
      <c r="L421" s="2">
        <v>46185</v>
      </c>
      <c r="M421" s="3">
        <v>780.18</v>
      </c>
      <c r="N421" s="3">
        <v>0</v>
      </c>
      <c r="O421">
        <v>0</v>
      </c>
      <c r="P421" t="s">
        <v>406</v>
      </c>
    </row>
    <row r="422" spans="1:16">
      <c r="A422" s="2">
        <v>46169</v>
      </c>
      <c r="B422" t="s">
        <v>491</v>
      </c>
      <c r="C422" t="s">
        <v>64</v>
      </c>
      <c r="D422" t="s">
        <v>34</v>
      </c>
      <c r="E422" t="s">
        <v>35</v>
      </c>
      <c r="F422" s="3">
        <v>3119.66</v>
      </c>
      <c r="G422" t="s">
        <v>49</v>
      </c>
      <c r="H422" t="s">
        <v>62</v>
      </c>
      <c r="I422">
        <v>30</v>
      </c>
      <c r="J422" s="2">
        <v>46199</v>
      </c>
      <c r="K422" t="s">
        <v>38</v>
      </c>
      <c r="L422" s="2"/>
      <c r="M422" s="3">
        <v>0</v>
      </c>
      <c r="N422" s="3">
        <v>3119.66</v>
      </c>
      <c r="O422">
        <v>0</v>
      </c>
      <c r="P422" t="s">
        <v>406</v>
      </c>
    </row>
    <row r="423" spans="1:16">
      <c r="A423" s="2">
        <v>46169</v>
      </c>
      <c r="B423" t="s">
        <v>492</v>
      </c>
      <c r="C423" t="s">
        <v>90</v>
      </c>
      <c r="D423" t="s">
        <v>42</v>
      </c>
      <c r="E423" t="s">
        <v>48</v>
      </c>
      <c r="F423" s="3">
        <v>926.56</v>
      </c>
      <c r="G423" t="s">
        <v>71</v>
      </c>
      <c r="H423" t="s">
        <v>58</v>
      </c>
      <c r="I423">
        <v>30</v>
      </c>
      <c r="J423" s="2">
        <v>46199</v>
      </c>
      <c r="K423" t="s">
        <v>50</v>
      </c>
      <c r="L423" s="2">
        <v>46208</v>
      </c>
      <c r="M423" s="3">
        <v>926.56</v>
      </c>
      <c r="N423" s="3">
        <v>0</v>
      </c>
      <c r="O423">
        <v>0</v>
      </c>
      <c r="P423" t="s">
        <v>406</v>
      </c>
    </row>
    <row r="424" spans="1:16">
      <c r="A424" s="2">
        <v>46169</v>
      </c>
      <c r="B424" t="s">
        <v>493</v>
      </c>
      <c r="C424" t="s">
        <v>41</v>
      </c>
      <c r="D424" t="s">
        <v>34</v>
      </c>
      <c r="E424" t="s">
        <v>43</v>
      </c>
      <c r="F424" s="3">
        <v>3312.82</v>
      </c>
      <c r="G424" t="s">
        <v>44</v>
      </c>
      <c r="H424" t="s">
        <v>58</v>
      </c>
      <c r="I424">
        <v>30</v>
      </c>
      <c r="J424" s="2">
        <v>46199</v>
      </c>
      <c r="K424" t="s">
        <v>72</v>
      </c>
      <c r="L424" s="2"/>
      <c r="M424" s="3">
        <v>0</v>
      </c>
      <c r="N424" s="3">
        <v>3312.82</v>
      </c>
      <c r="O424">
        <v>59</v>
      </c>
      <c r="P424" t="s">
        <v>406</v>
      </c>
    </row>
    <row r="425" spans="1:16">
      <c r="A425" s="2">
        <v>46169</v>
      </c>
      <c r="B425" t="s">
        <v>494</v>
      </c>
      <c r="C425" t="s">
        <v>80</v>
      </c>
      <c r="D425" t="s">
        <v>34</v>
      </c>
      <c r="E425" t="s">
        <v>53</v>
      </c>
      <c r="F425" s="3">
        <v>451.06</v>
      </c>
      <c r="G425" t="s">
        <v>44</v>
      </c>
      <c r="H425" t="s">
        <v>58</v>
      </c>
      <c r="I425">
        <v>15</v>
      </c>
      <c r="J425" s="2">
        <v>46184</v>
      </c>
      <c r="K425" t="s">
        <v>50</v>
      </c>
      <c r="L425" s="2">
        <v>46185</v>
      </c>
      <c r="M425" s="3">
        <v>451.06</v>
      </c>
      <c r="N425" s="3">
        <v>0</v>
      </c>
      <c r="O425">
        <v>0</v>
      </c>
      <c r="P425" t="s">
        <v>406</v>
      </c>
    </row>
    <row r="426" spans="1:16">
      <c r="A426" s="2">
        <v>46170</v>
      </c>
      <c r="B426" t="s">
        <v>495</v>
      </c>
      <c r="C426" t="s">
        <v>33</v>
      </c>
      <c r="D426" t="s">
        <v>42</v>
      </c>
      <c r="E426" t="s">
        <v>43</v>
      </c>
      <c r="F426" s="3">
        <v>498.2</v>
      </c>
      <c r="G426" t="s">
        <v>71</v>
      </c>
      <c r="H426" t="s">
        <v>58</v>
      </c>
      <c r="I426">
        <v>15</v>
      </c>
      <c r="J426" s="2">
        <v>46185</v>
      </c>
      <c r="K426" t="s">
        <v>38</v>
      </c>
      <c r="L426" s="2"/>
      <c r="M426" s="3">
        <v>0</v>
      </c>
      <c r="N426" s="3">
        <v>498.2</v>
      </c>
      <c r="O426">
        <v>0</v>
      </c>
      <c r="P426" t="s">
        <v>406</v>
      </c>
    </row>
    <row r="427" spans="1:16">
      <c r="A427" s="2">
        <v>46170</v>
      </c>
      <c r="B427" t="s">
        <v>496</v>
      </c>
      <c r="C427" t="s">
        <v>64</v>
      </c>
      <c r="D427" t="s">
        <v>34</v>
      </c>
      <c r="E427" t="s">
        <v>48</v>
      </c>
      <c r="F427" s="3">
        <v>2217.29</v>
      </c>
      <c r="G427" t="s">
        <v>44</v>
      </c>
      <c r="H427" t="s">
        <v>37</v>
      </c>
      <c r="I427">
        <v>15</v>
      </c>
      <c r="J427" s="2">
        <v>46185</v>
      </c>
      <c r="K427" t="s">
        <v>50</v>
      </c>
      <c r="L427" s="2">
        <v>46194</v>
      </c>
      <c r="M427" s="3">
        <v>2217.29</v>
      </c>
      <c r="N427" s="3">
        <v>0</v>
      </c>
      <c r="O427">
        <v>0</v>
      </c>
      <c r="P427" t="s">
        <v>406</v>
      </c>
    </row>
    <row r="428" spans="1:16">
      <c r="A428" s="2">
        <v>46170</v>
      </c>
      <c r="B428" t="s">
        <v>497</v>
      </c>
      <c r="C428" t="s">
        <v>84</v>
      </c>
      <c r="D428" t="s">
        <v>52</v>
      </c>
      <c r="E428" t="s">
        <v>48</v>
      </c>
      <c r="F428" s="3">
        <v>2176.04</v>
      </c>
      <c r="G428" t="s">
        <v>44</v>
      </c>
      <c r="H428" t="s">
        <v>58</v>
      </c>
      <c r="I428">
        <v>7</v>
      </c>
      <c r="J428" s="2">
        <v>46177</v>
      </c>
      <c r="K428" t="s">
        <v>50</v>
      </c>
      <c r="L428" s="2">
        <v>46188</v>
      </c>
      <c r="M428" s="3">
        <v>2176.04</v>
      </c>
      <c r="N428" s="3">
        <v>0</v>
      </c>
      <c r="O428">
        <v>0</v>
      </c>
      <c r="P428" t="s">
        <v>406</v>
      </c>
    </row>
    <row r="429" spans="1:16">
      <c r="A429" s="2">
        <v>46170</v>
      </c>
      <c r="B429" t="s">
        <v>498</v>
      </c>
      <c r="C429" t="s">
        <v>56</v>
      </c>
      <c r="D429" t="s">
        <v>52</v>
      </c>
      <c r="E429" t="s">
        <v>35</v>
      </c>
      <c r="F429" s="3">
        <v>3133.56</v>
      </c>
      <c r="G429" t="s">
        <v>36</v>
      </c>
      <c r="H429" t="s">
        <v>62</v>
      </c>
      <c r="I429">
        <v>30</v>
      </c>
      <c r="J429" s="2">
        <v>46200</v>
      </c>
      <c r="K429" t="s">
        <v>50</v>
      </c>
      <c r="L429" s="2">
        <v>46211</v>
      </c>
      <c r="M429" s="3">
        <v>3133.56</v>
      </c>
      <c r="N429" s="3">
        <v>0</v>
      </c>
      <c r="O429">
        <v>0</v>
      </c>
      <c r="P429" t="s">
        <v>406</v>
      </c>
    </row>
    <row r="430" spans="1:16">
      <c r="A430" s="2">
        <v>46172</v>
      </c>
      <c r="B430" t="s">
        <v>499</v>
      </c>
      <c r="C430" t="s">
        <v>68</v>
      </c>
      <c r="D430" t="s">
        <v>34</v>
      </c>
      <c r="E430" t="s">
        <v>35</v>
      </c>
      <c r="F430" s="3">
        <v>1628.03</v>
      </c>
      <c r="G430" t="s">
        <v>44</v>
      </c>
      <c r="H430" t="s">
        <v>69</v>
      </c>
      <c r="I430">
        <v>15</v>
      </c>
      <c r="J430" s="2">
        <v>46187</v>
      </c>
      <c r="K430" t="s">
        <v>50</v>
      </c>
      <c r="L430" s="2">
        <v>46188</v>
      </c>
      <c r="M430" s="3">
        <v>1628.03</v>
      </c>
      <c r="N430" s="3">
        <v>0</v>
      </c>
      <c r="O430">
        <v>0</v>
      </c>
      <c r="P430" t="s">
        <v>406</v>
      </c>
    </row>
    <row r="431" spans="1:16">
      <c r="A431" s="2">
        <v>46172</v>
      </c>
      <c r="B431" t="s">
        <v>500</v>
      </c>
      <c r="C431" t="s">
        <v>64</v>
      </c>
      <c r="D431" t="s">
        <v>34</v>
      </c>
      <c r="E431" t="s">
        <v>53</v>
      </c>
      <c r="F431" s="3">
        <v>620.82000000000005</v>
      </c>
      <c r="G431" t="s">
        <v>49</v>
      </c>
      <c r="H431" t="s">
        <v>58</v>
      </c>
      <c r="I431">
        <v>30</v>
      </c>
      <c r="J431" s="2">
        <v>46202</v>
      </c>
      <c r="K431" t="s">
        <v>72</v>
      </c>
      <c r="L431" s="2"/>
      <c r="M431" s="3">
        <v>0</v>
      </c>
      <c r="N431" s="3">
        <v>620.82000000000005</v>
      </c>
      <c r="O431">
        <v>56</v>
      </c>
      <c r="P431" t="s">
        <v>406</v>
      </c>
    </row>
    <row r="432" spans="1:16">
      <c r="A432" s="2">
        <v>46173</v>
      </c>
      <c r="B432" t="s">
        <v>501</v>
      </c>
      <c r="C432" t="s">
        <v>41</v>
      </c>
      <c r="D432" t="s">
        <v>65</v>
      </c>
      <c r="E432" t="s">
        <v>43</v>
      </c>
      <c r="F432" s="3">
        <v>1162.67</v>
      </c>
      <c r="G432" t="s">
        <v>49</v>
      </c>
      <c r="H432" t="s">
        <v>45</v>
      </c>
      <c r="I432">
        <v>15</v>
      </c>
      <c r="J432" s="2">
        <v>46188</v>
      </c>
      <c r="K432" t="s">
        <v>38</v>
      </c>
      <c r="L432" s="2"/>
      <c r="M432" s="3">
        <v>0</v>
      </c>
      <c r="N432" s="3">
        <v>1162.67</v>
      </c>
      <c r="O432">
        <v>0</v>
      </c>
      <c r="P432" t="s">
        <v>406</v>
      </c>
    </row>
    <row r="433" spans="1:16">
      <c r="A433" s="2">
        <v>46173</v>
      </c>
      <c r="B433" t="s">
        <v>502</v>
      </c>
      <c r="C433" t="s">
        <v>47</v>
      </c>
      <c r="D433" t="s">
        <v>52</v>
      </c>
      <c r="E433" t="s">
        <v>43</v>
      </c>
      <c r="F433" s="3">
        <v>1046.03</v>
      </c>
      <c r="G433" t="s">
        <v>71</v>
      </c>
      <c r="H433" t="s">
        <v>62</v>
      </c>
      <c r="I433">
        <v>30</v>
      </c>
      <c r="J433" s="2">
        <v>46203</v>
      </c>
      <c r="K433" t="s">
        <v>50</v>
      </c>
      <c r="L433" s="2">
        <v>46213</v>
      </c>
      <c r="M433" s="3">
        <v>1046.03</v>
      </c>
      <c r="N433" s="3">
        <v>0</v>
      </c>
      <c r="O433">
        <v>0</v>
      </c>
      <c r="P433" t="s">
        <v>406</v>
      </c>
    </row>
    <row r="434" spans="1:16">
      <c r="A434" s="2">
        <v>46173</v>
      </c>
      <c r="B434" t="s">
        <v>503</v>
      </c>
      <c r="C434" t="s">
        <v>68</v>
      </c>
      <c r="D434" t="s">
        <v>65</v>
      </c>
      <c r="E434" t="s">
        <v>35</v>
      </c>
      <c r="F434" s="3">
        <v>1439.6</v>
      </c>
      <c r="G434" t="s">
        <v>49</v>
      </c>
      <c r="H434" t="s">
        <v>66</v>
      </c>
      <c r="I434">
        <v>30</v>
      </c>
      <c r="J434" s="2">
        <v>46203</v>
      </c>
      <c r="K434" t="s">
        <v>50</v>
      </c>
      <c r="L434" s="2">
        <v>46212</v>
      </c>
      <c r="M434" s="3">
        <v>1439.6</v>
      </c>
      <c r="N434" s="3">
        <v>0</v>
      </c>
      <c r="O434">
        <v>0</v>
      </c>
      <c r="P434" t="s">
        <v>406</v>
      </c>
    </row>
    <row r="435" spans="1:16">
      <c r="A435" s="2">
        <v>46173</v>
      </c>
      <c r="B435" t="s">
        <v>504</v>
      </c>
      <c r="C435" t="s">
        <v>74</v>
      </c>
      <c r="D435" t="s">
        <v>34</v>
      </c>
      <c r="E435" t="s">
        <v>57</v>
      </c>
      <c r="F435" s="3">
        <v>685.9</v>
      </c>
      <c r="G435" t="s">
        <v>49</v>
      </c>
      <c r="H435" t="s">
        <v>66</v>
      </c>
      <c r="I435">
        <v>30</v>
      </c>
      <c r="J435" s="2">
        <v>46203</v>
      </c>
      <c r="K435" t="s">
        <v>50</v>
      </c>
      <c r="L435" s="2">
        <v>46207</v>
      </c>
      <c r="M435" s="3">
        <v>685.9</v>
      </c>
      <c r="N435" s="3">
        <v>0</v>
      </c>
      <c r="O435">
        <v>0</v>
      </c>
      <c r="P435" t="s">
        <v>406</v>
      </c>
    </row>
    <row r="436" spans="1:16">
      <c r="A436" s="2">
        <v>46174</v>
      </c>
      <c r="B436" t="s">
        <v>505</v>
      </c>
      <c r="C436" t="s">
        <v>64</v>
      </c>
      <c r="D436" t="s">
        <v>34</v>
      </c>
      <c r="E436" t="s">
        <v>43</v>
      </c>
      <c r="F436" s="3">
        <v>656.89</v>
      </c>
      <c r="G436" t="s">
        <v>44</v>
      </c>
      <c r="H436" t="s">
        <v>37</v>
      </c>
      <c r="I436">
        <v>30</v>
      </c>
      <c r="J436" s="2">
        <v>46204</v>
      </c>
      <c r="K436" t="s">
        <v>50</v>
      </c>
      <c r="L436" s="2">
        <v>46209</v>
      </c>
      <c r="M436" s="3">
        <v>656.89</v>
      </c>
      <c r="N436" s="3">
        <v>0</v>
      </c>
      <c r="O436">
        <v>0</v>
      </c>
      <c r="P436" t="s">
        <v>506</v>
      </c>
    </row>
    <row r="437" spans="1:16">
      <c r="A437" s="2">
        <v>46174</v>
      </c>
      <c r="B437" t="s">
        <v>507</v>
      </c>
      <c r="C437" t="s">
        <v>80</v>
      </c>
      <c r="D437" t="s">
        <v>65</v>
      </c>
      <c r="E437" t="s">
        <v>53</v>
      </c>
      <c r="F437" s="3">
        <v>2418.91</v>
      </c>
      <c r="G437" t="s">
        <v>36</v>
      </c>
      <c r="H437" t="s">
        <v>45</v>
      </c>
      <c r="I437">
        <v>15</v>
      </c>
      <c r="J437" s="2">
        <v>46189</v>
      </c>
      <c r="K437" t="s">
        <v>50</v>
      </c>
      <c r="L437" s="2">
        <v>46195</v>
      </c>
      <c r="M437" s="3">
        <v>2418.91</v>
      </c>
      <c r="N437" s="3">
        <v>0</v>
      </c>
      <c r="O437">
        <v>0</v>
      </c>
      <c r="P437" t="s">
        <v>506</v>
      </c>
    </row>
    <row r="438" spans="1:16">
      <c r="A438" s="2">
        <v>46174</v>
      </c>
      <c r="B438" t="s">
        <v>508</v>
      </c>
      <c r="C438" t="s">
        <v>61</v>
      </c>
      <c r="D438" t="s">
        <v>52</v>
      </c>
      <c r="E438" t="s">
        <v>48</v>
      </c>
      <c r="F438" s="3">
        <v>705.34</v>
      </c>
      <c r="G438" t="s">
        <v>71</v>
      </c>
      <c r="H438" t="s">
        <v>69</v>
      </c>
      <c r="I438">
        <v>15</v>
      </c>
      <c r="J438" s="2">
        <v>46189</v>
      </c>
      <c r="K438" t="s">
        <v>38</v>
      </c>
      <c r="L438" s="2"/>
      <c r="M438" s="3">
        <v>0</v>
      </c>
      <c r="N438" s="3">
        <v>705.34</v>
      </c>
      <c r="O438">
        <v>0</v>
      </c>
      <c r="P438" t="s">
        <v>506</v>
      </c>
    </row>
    <row r="439" spans="1:16">
      <c r="A439" s="2">
        <v>46174</v>
      </c>
      <c r="B439" t="s">
        <v>509</v>
      </c>
      <c r="C439" t="s">
        <v>84</v>
      </c>
      <c r="D439" t="s">
        <v>65</v>
      </c>
      <c r="E439" t="s">
        <v>48</v>
      </c>
      <c r="F439" s="3">
        <v>1507.23</v>
      </c>
      <c r="G439" t="s">
        <v>44</v>
      </c>
      <c r="H439" t="s">
        <v>45</v>
      </c>
      <c r="I439">
        <v>45</v>
      </c>
      <c r="J439" s="2">
        <v>46219</v>
      </c>
      <c r="K439" t="s">
        <v>50</v>
      </c>
      <c r="L439" s="2">
        <v>46219</v>
      </c>
      <c r="M439" s="3">
        <v>1507.23</v>
      </c>
      <c r="N439" s="3">
        <v>0</v>
      </c>
      <c r="O439">
        <v>0</v>
      </c>
      <c r="P439" t="s">
        <v>506</v>
      </c>
    </row>
    <row r="440" spans="1:16">
      <c r="A440" s="2">
        <v>46174</v>
      </c>
      <c r="B440" t="s">
        <v>510</v>
      </c>
      <c r="C440" t="s">
        <v>84</v>
      </c>
      <c r="D440" t="s">
        <v>52</v>
      </c>
      <c r="E440" t="s">
        <v>57</v>
      </c>
      <c r="F440" s="3">
        <v>6998.03</v>
      </c>
      <c r="G440" t="s">
        <v>44</v>
      </c>
      <c r="H440" t="s">
        <v>69</v>
      </c>
      <c r="I440">
        <v>30</v>
      </c>
      <c r="J440" s="2">
        <v>46204</v>
      </c>
      <c r="K440" t="s">
        <v>72</v>
      </c>
      <c r="L440" s="2"/>
      <c r="M440" s="3">
        <v>0</v>
      </c>
      <c r="N440" s="3">
        <v>6998.03</v>
      </c>
      <c r="O440">
        <v>54</v>
      </c>
      <c r="P440" t="s">
        <v>506</v>
      </c>
    </row>
    <row r="441" spans="1:16">
      <c r="A441" s="2">
        <v>46174</v>
      </c>
      <c r="B441" t="s">
        <v>511</v>
      </c>
      <c r="C441" t="s">
        <v>90</v>
      </c>
      <c r="D441" t="s">
        <v>65</v>
      </c>
      <c r="E441" t="s">
        <v>48</v>
      </c>
      <c r="F441" s="3">
        <v>2270.96</v>
      </c>
      <c r="G441" t="s">
        <v>44</v>
      </c>
      <c r="H441" t="s">
        <v>62</v>
      </c>
      <c r="I441">
        <v>30</v>
      </c>
      <c r="J441" s="2">
        <v>46204</v>
      </c>
      <c r="K441" t="s">
        <v>50</v>
      </c>
      <c r="L441" s="2">
        <v>46205</v>
      </c>
      <c r="M441" s="3">
        <v>2270.96</v>
      </c>
      <c r="N441" s="3">
        <v>0</v>
      </c>
      <c r="O441">
        <v>0</v>
      </c>
      <c r="P441" t="s">
        <v>506</v>
      </c>
    </row>
    <row r="442" spans="1:16">
      <c r="A442" s="2">
        <v>46175</v>
      </c>
      <c r="B442" t="s">
        <v>512</v>
      </c>
      <c r="C442" t="s">
        <v>68</v>
      </c>
      <c r="D442" t="s">
        <v>65</v>
      </c>
      <c r="E442" t="s">
        <v>35</v>
      </c>
      <c r="F442" s="3">
        <v>1003.9</v>
      </c>
      <c r="G442" t="s">
        <v>44</v>
      </c>
      <c r="H442" t="s">
        <v>58</v>
      </c>
      <c r="I442">
        <v>7</v>
      </c>
      <c r="J442" s="2">
        <v>46182</v>
      </c>
      <c r="K442" t="s">
        <v>72</v>
      </c>
      <c r="L442" s="2"/>
      <c r="M442" s="3">
        <v>0</v>
      </c>
      <c r="N442" s="3">
        <v>1003.9</v>
      </c>
      <c r="O442">
        <v>76</v>
      </c>
      <c r="P442" t="s">
        <v>506</v>
      </c>
    </row>
    <row r="443" spans="1:16">
      <c r="A443" s="2">
        <v>46175</v>
      </c>
      <c r="B443" t="s">
        <v>513</v>
      </c>
      <c r="C443" t="s">
        <v>41</v>
      </c>
      <c r="D443" t="s">
        <v>52</v>
      </c>
      <c r="E443" t="s">
        <v>43</v>
      </c>
      <c r="F443" s="3">
        <v>649.01</v>
      </c>
      <c r="G443" t="s">
        <v>36</v>
      </c>
      <c r="H443" t="s">
        <v>62</v>
      </c>
      <c r="I443">
        <v>7</v>
      </c>
      <c r="J443" s="2">
        <v>46182</v>
      </c>
      <c r="K443" t="s">
        <v>50</v>
      </c>
      <c r="L443" s="2">
        <v>46191</v>
      </c>
      <c r="M443" s="3">
        <v>649.01</v>
      </c>
      <c r="N443" s="3">
        <v>0</v>
      </c>
      <c r="O443">
        <v>0</v>
      </c>
      <c r="P443" t="s">
        <v>506</v>
      </c>
    </row>
    <row r="444" spans="1:16">
      <c r="A444" s="2">
        <v>46175</v>
      </c>
      <c r="B444" t="s">
        <v>514</v>
      </c>
      <c r="C444" t="s">
        <v>82</v>
      </c>
      <c r="D444" t="s">
        <v>42</v>
      </c>
      <c r="E444" t="s">
        <v>57</v>
      </c>
      <c r="F444" s="3">
        <v>1322.32</v>
      </c>
      <c r="G444" t="s">
        <v>36</v>
      </c>
      <c r="H444" t="s">
        <v>45</v>
      </c>
      <c r="I444">
        <v>45</v>
      </c>
      <c r="J444" s="2">
        <v>46220</v>
      </c>
      <c r="K444" t="s">
        <v>72</v>
      </c>
      <c r="L444" s="2"/>
      <c r="M444" s="3">
        <v>0</v>
      </c>
      <c r="N444" s="3">
        <v>1322.32</v>
      </c>
      <c r="O444">
        <v>38</v>
      </c>
      <c r="P444" t="s">
        <v>506</v>
      </c>
    </row>
    <row r="445" spans="1:16">
      <c r="A445" s="2">
        <v>46176</v>
      </c>
      <c r="B445" t="s">
        <v>515</v>
      </c>
      <c r="C445" t="s">
        <v>74</v>
      </c>
      <c r="D445" t="s">
        <v>42</v>
      </c>
      <c r="E445" t="s">
        <v>35</v>
      </c>
      <c r="F445" s="3">
        <v>400.9</v>
      </c>
      <c r="G445" t="s">
        <v>36</v>
      </c>
      <c r="H445" t="s">
        <v>58</v>
      </c>
      <c r="I445">
        <v>30</v>
      </c>
      <c r="J445" s="2">
        <v>46206</v>
      </c>
      <c r="K445" t="s">
        <v>72</v>
      </c>
      <c r="L445" s="2"/>
      <c r="M445" s="3">
        <v>0</v>
      </c>
      <c r="N445" s="3">
        <v>400.9</v>
      </c>
      <c r="O445">
        <v>52</v>
      </c>
      <c r="P445" t="s">
        <v>506</v>
      </c>
    </row>
    <row r="446" spans="1:16">
      <c r="A446" s="2">
        <v>46176</v>
      </c>
      <c r="B446" t="s">
        <v>516</v>
      </c>
      <c r="C446" t="s">
        <v>82</v>
      </c>
      <c r="D446" t="s">
        <v>65</v>
      </c>
      <c r="E446" t="s">
        <v>35</v>
      </c>
      <c r="F446" s="3">
        <v>3980.27</v>
      </c>
      <c r="G446" t="s">
        <v>36</v>
      </c>
      <c r="H446" t="s">
        <v>58</v>
      </c>
      <c r="I446">
        <v>30</v>
      </c>
      <c r="J446" s="2">
        <v>46206</v>
      </c>
      <c r="K446" t="s">
        <v>50</v>
      </c>
      <c r="L446" s="2">
        <v>46210</v>
      </c>
      <c r="M446" s="3">
        <v>3980.27</v>
      </c>
      <c r="N446" s="3">
        <v>0</v>
      </c>
      <c r="O446">
        <v>0</v>
      </c>
      <c r="P446" t="s">
        <v>506</v>
      </c>
    </row>
    <row r="447" spans="1:16">
      <c r="A447" s="2">
        <v>46176</v>
      </c>
      <c r="B447" t="s">
        <v>517</v>
      </c>
      <c r="C447" t="s">
        <v>74</v>
      </c>
      <c r="D447" t="s">
        <v>34</v>
      </c>
      <c r="E447" t="s">
        <v>57</v>
      </c>
      <c r="F447" s="3">
        <v>780.81</v>
      </c>
      <c r="G447" t="s">
        <v>49</v>
      </c>
      <c r="H447" t="s">
        <v>66</v>
      </c>
      <c r="I447">
        <v>30</v>
      </c>
      <c r="J447" s="2">
        <v>46206</v>
      </c>
      <c r="K447" t="s">
        <v>72</v>
      </c>
      <c r="L447" s="2"/>
      <c r="M447" s="3">
        <v>0</v>
      </c>
      <c r="N447" s="3">
        <v>780.81</v>
      </c>
      <c r="O447">
        <v>52</v>
      </c>
      <c r="P447" t="s">
        <v>506</v>
      </c>
    </row>
    <row r="448" spans="1:16">
      <c r="A448" s="2">
        <v>46177</v>
      </c>
      <c r="B448" t="s">
        <v>518</v>
      </c>
      <c r="C448" t="s">
        <v>47</v>
      </c>
      <c r="D448" t="s">
        <v>52</v>
      </c>
      <c r="E448" t="s">
        <v>53</v>
      </c>
      <c r="F448" s="3">
        <v>290.85000000000002</v>
      </c>
      <c r="G448" t="s">
        <v>36</v>
      </c>
      <c r="H448" t="s">
        <v>58</v>
      </c>
      <c r="I448">
        <v>30</v>
      </c>
      <c r="J448" s="2">
        <v>46207</v>
      </c>
      <c r="K448" t="s">
        <v>50</v>
      </c>
      <c r="L448" s="2">
        <v>46216</v>
      </c>
      <c r="M448" s="3">
        <v>290.85000000000002</v>
      </c>
      <c r="N448" s="3">
        <v>0</v>
      </c>
      <c r="O448">
        <v>0</v>
      </c>
      <c r="P448" t="s">
        <v>506</v>
      </c>
    </row>
    <row r="449" spans="1:16">
      <c r="A449" s="2">
        <v>46177</v>
      </c>
      <c r="B449" t="s">
        <v>519</v>
      </c>
      <c r="C449" t="s">
        <v>33</v>
      </c>
      <c r="D449" t="s">
        <v>65</v>
      </c>
      <c r="E449" t="s">
        <v>48</v>
      </c>
      <c r="F449" s="3">
        <v>222.8</v>
      </c>
      <c r="G449" t="s">
        <v>36</v>
      </c>
      <c r="H449" t="s">
        <v>62</v>
      </c>
      <c r="I449">
        <v>15</v>
      </c>
      <c r="J449" s="2">
        <v>46192</v>
      </c>
      <c r="K449" t="s">
        <v>72</v>
      </c>
      <c r="L449" s="2"/>
      <c r="M449" s="3">
        <v>0</v>
      </c>
      <c r="N449" s="3">
        <v>222.8</v>
      </c>
      <c r="O449">
        <v>66</v>
      </c>
      <c r="P449" t="s">
        <v>506</v>
      </c>
    </row>
    <row r="450" spans="1:16">
      <c r="A450" s="2">
        <v>46179</v>
      </c>
      <c r="B450" t="s">
        <v>520</v>
      </c>
      <c r="C450" t="s">
        <v>82</v>
      </c>
      <c r="D450" t="s">
        <v>34</v>
      </c>
      <c r="E450" t="s">
        <v>57</v>
      </c>
      <c r="F450" s="3">
        <v>575.03</v>
      </c>
      <c r="G450" t="s">
        <v>71</v>
      </c>
      <c r="H450" t="s">
        <v>66</v>
      </c>
      <c r="I450">
        <v>15</v>
      </c>
      <c r="J450" s="2">
        <v>46194</v>
      </c>
      <c r="K450" t="s">
        <v>50</v>
      </c>
      <c r="L450" s="2">
        <v>46201</v>
      </c>
      <c r="M450" s="3">
        <v>575.03</v>
      </c>
      <c r="N450" s="3">
        <v>0</v>
      </c>
      <c r="O450">
        <v>0</v>
      </c>
      <c r="P450" t="s">
        <v>506</v>
      </c>
    </row>
    <row r="451" spans="1:16">
      <c r="A451" s="2">
        <v>46180</v>
      </c>
      <c r="B451" t="s">
        <v>521</v>
      </c>
      <c r="C451" t="s">
        <v>74</v>
      </c>
      <c r="D451" t="s">
        <v>42</v>
      </c>
      <c r="E451" t="s">
        <v>57</v>
      </c>
      <c r="F451" s="3">
        <v>3247.82</v>
      </c>
      <c r="G451" t="s">
        <v>71</v>
      </c>
      <c r="H451" t="s">
        <v>66</v>
      </c>
      <c r="I451">
        <v>7</v>
      </c>
      <c r="J451" s="2">
        <v>46187</v>
      </c>
      <c r="K451" t="s">
        <v>50</v>
      </c>
      <c r="L451" s="2">
        <v>46198</v>
      </c>
      <c r="M451" s="3">
        <v>3247.82</v>
      </c>
      <c r="N451" s="3">
        <v>0</v>
      </c>
      <c r="O451">
        <v>0</v>
      </c>
      <c r="P451" t="s">
        <v>506</v>
      </c>
    </row>
    <row r="452" spans="1:16">
      <c r="A452" s="2">
        <v>46180</v>
      </c>
      <c r="B452" t="s">
        <v>522</v>
      </c>
      <c r="C452" t="s">
        <v>47</v>
      </c>
      <c r="D452" t="s">
        <v>34</v>
      </c>
      <c r="E452" t="s">
        <v>43</v>
      </c>
      <c r="F452" s="3">
        <v>1305.28</v>
      </c>
      <c r="G452" t="s">
        <v>49</v>
      </c>
      <c r="H452" t="s">
        <v>69</v>
      </c>
      <c r="I452">
        <v>7</v>
      </c>
      <c r="J452" s="2">
        <v>46187</v>
      </c>
      <c r="K452" t="s">
        <v>38</v>
      </c>
      <c r="L452" s="2"/>
      <c r="M452" s="3">
        <v>0</v>
      </c>
      <c r="N452" s="3">
        <v>1305.28</v>
      </c>
      <c r="O452">
        <v>0</v>
      </c>
      <c r="P452" t="s">
        <v>506</v>
      </c>
    </row>
    <row r="453" spans="1:16">
      <c r="A453" s="2">
        <v>46180</v>
      </c>
      <c r="B453" t="s">
        <v>523</v>
      </c>
      <c r="C453" t="s">
        <v>74</v>
      </c>
      <c r="D453" t="s">
        <v>65</v>
      </c>
      <c r="E453" t="s">
        <v>48</v>
      </c>
      <c r="F453" s="3">
        <v>844.65</v>
      </c>
      <c r="G453" t="s">
        <v>49</v>
      </c>
      <c r="H453" t="s">
        <v>69</v>
      </c>
      <c r="I453">
        <v>45</v>
      </c>
      <c r="J453" s="2">
        <v>46225</v>
      </c>
      <c r="K453" t="s">
        <v>38</v>
      </c>
      <c r="L453" s="2"/>
      <c r="M453" s="3">
        <v>0</v>
      </c>
      <c r="N453" s="3">
        <v>844.65</v>
      </c>
      <c r="O453">
        <v>0</v>
      </c>
      <c r="P453" t="s">
        <v>506</v>
      </c>
    </row>
    <row r="454" spans="1:16">
      <c r="A454" s="2">
        <v>46180</v>
      </c>
      <c r="B454" t="s">
        <v>524</v>
      </c>
      <c r="C454" t="s">
        <v>61</v>
      </c>
      <c r="D454" t="s">
        <v>65</v>
      </c>
      <c r="E454" t="s">
        <v>35</v>
      </c>
      <c r="F454" s="3">
        <v>2425.61</v>
      </c>
      <c r="G454" t="s">
        <v>36</v>
      </c>
      <c r="H454" t="s">
        <v>69</v>
      </c>
      <c r="I454">
        <v>15</v>
      </c>
      <c r="J454" s="2">
        <v>46195</v>
      </c>
      <c r="K454" t="s">
        <v>50</v>
      </c>
      <c r="L454" s="2">
        <v>46196</v>
      </c>
      <c r="M454" s="3">
        <v>2425.61</v>
      </c>
      <c r="N454" s="3">
        <v>0</v>
      </c>
      <c r="O454">
        <v>0</v>
      </c>
      <c r="P454" t="s">
        <v>506</v>
      </c>
    </row>
    <row r="455" spans="1:16">
      <c r="A455" s="2">
        <v>46181</v>
      </c>
      <c r="B455" t="s">
        <v>525</v>
      </c>
      <c r="C455" t="s">
        <v>33</v>
      </c>
      <c r="D455" t="s">
        <v>34</v>
      </c>
      <c r="E455" t="s">
        <v>53</v>
      </c>
      <c r="F455" s="3">
        <v>1115.0899999999999</v>
      </c>
      <c r="G455" t="s">
        <v>44</v>
      </c>
      <c r="H455" t="s">
        <v>62</v>
      </c>
      <c r="I455">
        <v>30</v>
      </c>
      <c r="J455" s="2">
        <v>46211</v>
      </c>
      <c r="K455" t="s">
        <v>50</v>
      </c>
      <c r="L455" s="2">
        <v>46215</v>
      </c>
      <c r="M455" s="3">
        <v>1115.0899999999999</v>
      </c>
      <c r="N455" s="3">
        <v>0</v>
      </c>
      <c r="O455">
        <v>0</v>
      </c>
      <c r="P455" t="s">
        <v>506</v>
      </c>
    </row>
    <row r="456" spans="1:16">
      <c r="A456" s="2">
        <v>46182</v>
      </c>
      <c r="B456" t="s">
        <v>526</v>
      </c>
      <c r="C456" t="s">
        <v>84</v>
      </c>
      <c r="D456" t="s">
        <v>34</v>
      </c>
      <c r="E456" t="s">
        <v>43</v>
      </c>
      <c r="F456" s="3">
        <v>1077.06</v>
      </c>
      <c r="G456" t="s">
        <v>71</v>
      </c>
      <c r="H456" t="s">
        <v>37</v>
      </c>
      <c r="I456">
        <v>7</v>
      </c>
      <c r="J456" s="2">
        <v>46189</v>
      </c>
      <c r="K456" t="s">
        <v>50</v>
      </c>
      <c r="L456" s="2">
        <v>46197</v>
      </c>
      <c r="M456" s="3">
        <v>1077.06</v>
      </c>
      <c r="N456" s="3">
        <v>0</v>
      </c>
      <c r="O456">
        <v>0</v>
      </c>
      <c r="P456" t="s">
        <v>506</v>
      </c>
    </row>
    <row r="457" spans="1:16">
      <c r="A457" s="2">
        <v>46182</v>
      </c>
      <c r="B457" t="s">
        <v>527</v>
      </c>
      <c r="C457" t="s">
        <v>61</v>
      </c>
      <c r="D457" t="s">
        <v>52</v>
      </c>
      <c r="E457" t="s">
        <v>43</v>
      </c>
      <c r="F457" s="3">
        <v>2226.46</v>
      </c>
      <c r="G457" t="s">
        <v>71</v>
      </c>
      <c r="H457" t="s">
        <v>37</v>
      </c>
      <c r="I457">
        <v>15</v>
      </c>
      <c r="J457" s="2">
        <v>46197</v>
      </c>
      <c r="K457" t="s">
        <v>50</v>
      </c>
      <c r="L457" s="2">
        <v>46206</v>
      </c>
      <c r="M457" s="3">
        <v>2226.46</v>
      </c>
      <c r="N457" s="3">
        <v>0</v>
      </c>
      <c r="O457">
        <v>0</v>
      </c>
      <c r="P457" t="s">
        <v>506</v>
      </c>
    </row>
    <row r="458" spans="1:16">
      <c r="A458" s="2">
        <v>46182</v>
      </c>
      <c r="B458" t="s">
        <v>528</v>
      </c>
      <c r="C458" t="s">
        <v>64</v>
      </c>
      <c r="D458" t="s">
        <v>52</v>
      </c>
      <c r="E458" t="s">
        <v>35</v>
      </c>
      <c r="F458" s="3">
        <v>2338.14</v>
      </c>
      <c r="G458" t="s">
        <v>36</v>
      </c>
      <c r="H458" t="s">
        <v>69</v>
      </c>
      <c r="I458">
        <v>45</v>
      </c>
      <c r="J458" s="2">
        <v>46227</v>
      </c>
      <c r="K458" t="s">
        <v>50</v>
      </c>
      <c r="L458" s="2">
        <v>46235</v>
      </c>
      <c r="M458" s="3">
        <v>2338.14</v>
      </c>
      <c r="N458" s="3">
        <v>0</v>
      </c>
      <c r="O458">
        <v>0</v>
      </c>
      <c r="P458" t="s">
        <v>506</v>
      </c>
    </row>
    <row r="459" spans="1:16">
      <c r="A459" s="2">
        <v>46182</v>
      </c>
      <c r="B459" t="s">
        <v>529</v>
      </c>
      <c r="C459" t="s">
        <v>41</v>
      </c>
      <c r="D459" t="s">
        <v>34</v>
      </c>
      <c r="E459" t="s">
        <v>48</v>
      </c>
      <c r="F459" s="3">
        <v>855.77</v>
      </c>
      <c r="G459" t="s">
        <v>49</v>
      </c>
      <c r="H459" t="s">
        <v>37</v>
      </c>
      <c r="I459">
        <v>15</v>
      </c>
      <c r="J459" s="2">
        <v>46197</v>
      </c>
      <c r="K459" t="s">
        <v>38</v>
      </c>
      <c r="L459" s="2"/>
      <c r="M459" s="3">
        <v>0</v>
      </c>
      <c r="N459" s="3">
        <v>855.77</v>
      </c>
      <c r="O459">
        <v>0</v>
      </c>
      <c r="P459" t="s">
        <v>506</v>
      </c>
    </row>
    <row r="460" spans="1:16">
      <c r="A460" s="2">
        <v>46182</v>
      </c>
      <c r="B460" t="s">
        <v>530</v>
      </c>
      <c r="C460" t="s">
        <v>64</v>
      </c>
      <c r="D460" t="s">
        <v>34</v>
      </c>
      <c r="E460" t="s">
        <v>43</v>
      </c>
      <c r="F460" s="3">
        <v>465.49</v>
      </c>
      <c r="G460" t="s">
        <v>71</v>
      </c>
      <c r="H460" t="s">
        <v>37</v>
      </c>
      <c r="I460">
        <v>7</v>
      </c>
      <c r="J460" s="2">
        <v>46189</v>
      </c>
      <c r="K460" t="s">
        <v>38</v>
      </c>
      <c r="L460" s="2"/>
      <c r="M460" s="3">
        <v>0</v>
      </c>
      <c r="N460" s="3">
        <v>465.49</v>
      </c>
      <c r="O460">
        <v>0</v>
      </c>
      <c r="P460" t="s">
        <v>506</v>
      </c>
    </row>
    <row r="461" spans="1:16">
      <c r="A461" s="2">
        <v>46182</v>
      </c>
      <c r="B461" t="s">
        <v>531</v>
      </c>
      <c r="C461" t="s">
        <v>84</v>
      </c>
      <c r="D461" t="s">
        <v>65</v>
      </c>
      <c r="E461" t="s">
        <v>57</v>
      </c>
      <c r="F461" s="3">
        <v>3685.33</v>
      </c>
      <c r="G461" t="s">
        <v>71</v>
      </c>
      <c r="H461" t="s">
        <v>45</v>
      </c>
      <c r="I461">
        <v>30</v>
      </c>
      <c r="J461" s="2">
        <v>46212</v>
      </c>
      <c r="K461" t="s">
        <v>50</v>
      </c>
      <c r="L461" s="2">
        <v>46214</v>
      </c>
      <c r="M461" s="3">
        <v>3685.33</v>
      </c>
      <c r="N461" s="3">
        <v>0</v>
      </c>
      <c r="O461">
        <v>0</v>
      </c>
      <c r="P461" t="s">
        <v>506</v>
      </c>
    </row>
    <row r="462" spans="1:16">
      <c r="A462" s="2">
        <v>46182</v>
      </c>
      <c r="B462" t="s">
        <v>532</v>
      </c>
      <c r="C462" t="s">
        <v>80</v>
      </c>
      <c r="D462" t="s">
        <v>65</v>
      </c>
      <c r="E462" t="s">
        <v>53</v>
      </c>
      <c r="F462" s="3">
        <v>1569.26</v>
      </c>
      <c r="G462" t="s">
        <v>36</v>
      </c>
      <c r="H462" t="s">
        <v>37</v>
      </c>
      <c r="I462">
        <v>30</v>
      </c>
      <c r="J462" s="2">
        <v>46212</v>
      </c>
      <c r="K462" t="s">
        <v>50</v>
      </c>
      <c r="L462" s="2">
        <v>46213</v>
      </c>
      <c r="M462" s="3">
        <v>1569.26</v>
      </c>
      <c r="N462" s="3">
        <v>0</v>
      </c>
      <c r="O462">
        <v>0</v>
      </c>
      <c r="P462" t="s">
        <v>506</v>
      </c>
    </row>
    <row r="463" spans="1:16">
      <c r="A463" s="2">
        <v>46183</v>
      </c>
      <c r="B463" t="s">
        <v>533</v>
      </c>
      <c r="C463" t="s">
        <v>84</v>
      </c>
      <c r="D463" t="s">
        <v>65</v>
      </c>
      <c r="E463" t="s">
        <v>53</v>
      </c>
      <c r="F463" s="3">
        <v>2964.25</v>
      </c>
      <c r="G463" t="s">
        <v>36</v>
      </c>
      <c r="H463" t="s">
        <v>37</v>
      </c>
      <c r="I463">
        <v>30</v>
      </c>
      <c r="J463" s="2">
        <v>46213</v>
      </c>
      <c r="K463" t="s">
        <v>50</v>
      </c>
      <c r="L463" s="2">
        <v>46220</v>
      </c>
      <c r="M463" s="3">
        <v>2964.25</v>
      </c>
      <c r="N463" s="3">
        <v>0</v>
      </c>
      <c r="O463">
        <v>0</v>
      </c>
      <c r="P463" t="s">
        <v>506</v>
      </c>
    </row>
    <row r="464" spans="1:16">
      <c r="A464" s="2">
        <v>46183</v>
      </c>
      <c r="B464" t="s">
        <v>534</v>
      </c>
      <c r="C464" t="s">
        <v>80</v>
      </c>
      <c r="D464" t="s">
        <v>52</v>
      </c>
      <c r="E464" t="s">
        <v>57</v>
      </c>
      <c r="F464" s="3">
        <v>828.73</v>
      </c>
      <c r="G464" t="s">
        <v>36</v>
      </c>
      <c r="H464" t="s">
        <v>69</v>
      </c>
      <c r="I464">
        <v>45</v>
      </c>
      <c r="J464" s="2">
        <v>46228</v>
      </c>
      <c r="K464" t="s">
        <v>50</v>
      </c>
      <c r="L464" s="2">
        <v>46239</v>
      </c>
      <c r="M464" s="3">
        <v>828.73</v>
      </c>
      <c r="N464" s="3">
        <v>0</v>
      </c>
      <c r="O464">
        <v>0</v>
      </c>
      <c r="P464" t="s">
        <v>506</v>
      </c>
    </row>
    <row r="465" spans="1:16">
      <c r="A465" s="2">
        <v>46183</v>
      </c>
      <c r="B465" t="s">
        <v>535</v>
      </c>
      <c r="C465" t="s">
        <v>33</v>
      </c>
      <c r="D465" t="s">
        <v>42</v>
      </c>
      <c r="E465" t="s">
        <v>53</v>
      </c>
      <c r="F465" s="3">
        <v>521.92999999999995</v>
      </c>
      <c r="G465" t="s">
        <v>36</v>
      </c>
      <c r="H465" t="s">
        <v>62</v>
      </c>
      <c r="I465">
        <v>15</v>
      </c>
      <c r="J465" s="2">
        <v>46198</v>
      </c>
      <c r="K465" t="s">
        <v>50</v>
      </c>
      <c r="L465" s="2">
        <v>46209</v>
      </c>
      <c r="M465" s="3">
        <v>521.92999999999995</v>
      </c>
      <c r="N465" s="3">
        <v>0</v>
      </c>
      <c r="O465">
        <v>0</v>
      </c>
      <c r="P465" t="s">
        <v>506</v>
      </c>
    </row>
    <row r="466" spans="1:16">
      <c r="A466" s="2">
        <v>46183</v>
      </c>
      <c r="B466" t="s">
        <v>536</v>
      </c>
      <c r="C466" t="s">
        <v>82</v>
      </c>
      <c r="D466" t="s">
        <v>52</v>
      </c>
      <c r="E466" t="s">
        <v>57</v>
      </c>
      <c r="F466" s="3">
        <v>1534.4</v>
      </c>
      <c r="G466" t="s">
        <v>49</v>
      </c>
      <c r="H466" t="s">
        <v>66</v>
      </c>
      <c r="I466">
        <v>45</v>
      </c>
      <c r="J466" s="2">
        <v>46228</v>
      </c>
      <c r="K466" t="s">
        <v>50</v>
      </c>
      <c r="L466" s="2">
        <v>46234</v>
      </c>
      <c r="M466" s="3">
        <v>1534.4</v>
      </c>
      <c r="N466" s="3">
        <v>0</v>
      </c>
      <c r="O466">
        <v>0</v>
      </c>
      <c r="P466" t="s">
        <v>506</v>
      </c>
    </row>
    <row r="467" spans="1:16">
      <c r="A467" s="2">
        <v>46183</v>
      </c>
      <c r="B467" t="s">
        <v>537</v>
      </c>
      <c r="C467" t="s">
        <v>61</v>
      </c>
      <c r="D467" t="s">
        <v>42</v>
      </c>
      <c r="E467" t="s">
        <v>53</v>
      </c>
      <c r="F467" s="3">
        <v>1515.13</v>
      </c>
      <c r="G467" t="s">
        <v>36</v>
      </c>
      <c r="H467" t="s">
        <v>58</v>
      </c>
      <c r="I467">
        <v>15</v>
      </c>
      <c r="J467" s="2">
        <v>46198</v>
      </c>
      <c r="K467" t="s">
        <v>72</v>
      </c>
      <c r="L467" s="2"/>
      <c r="M467" s="3">
        <v>0</v>
      </c>
      <c r="N467" s="3">
        <v>1515.13</v>
      </c>
      <c r="O467">
        <v>60</v>
      </c>
      <c r="P467" t="s">
        <v>506</v>
      </c>
    </row>
    <row r="468" spans="1:16">
      <c r="A468" s="2">
        <v>46183</v>
      </c>
      <c r="B468" t="s">
        <v>538</v>
      </c>
      <c r="C468" t="s">
        <v>90</v>
      </c>
      <c r="D468" t="s">
        <v>52</v>
      </c>
      <c r="E468" t="s">
        <v>53</v>
      </c>
      <c r="F468" s="3">
        <v>1569.6</v>
      </c>
      <c r="G468" t="s">
        <v>71</v>
      </c>
      <c r="H468" t="s">
        <v>62</v>
      </c>
      <c r="I468">
        <v>15</v>
      </c>
      <c r="J468" s="2">
        <v>46198</v>
      </c>
      <c r="K468" t="s">
        <v>50</v>
      </c>
      <c r="L468" s="2">
        <v>46207</v>
      </c>
      <c r="M468" s="3">
        <v>1569.6</v>
      </c>
      <c r="N468" s="3">
        <v>0</v>
      </c>
      <c r="O468">
        <v>0</v>
      </c>
      <c r="P468" t="s">
        <v>506</v>
      </c>
    </row>
    <row r="469" spans="1:16">
      <c r="A469" s="2">
        <v>46183</v>
      </c>
      <c r="B469" t="s">
        <v>539</v>
      </c>
      <c r="C469" t="s">
        <v>47</v>
      </c>
      <c r="D469" t="s">
        <v>52</v>
      </c>
      <c r="E469" t="s">
        <v>48</v>
      </c>
      <c r="F469" s="3">
        <v>1029</v>
      </c>
      <c r="G469" t="s">
        <v>49</v>
      </c>
      <c r="H469" t="s">
        <v>69</v>
      </c>
      <c r="I469">
        <v>30</v>
      </c>
      <c r="J469" s="2">
        <v>46213</v>
      </c>
      <c r="K469" t="s">
        <v>50</v>
      </c>
      <c r="L469" s="2">
        <v>46217</v>
      </c>
      <c r="M469" s="3">
        <v>1029</v>
      </c>
      <c r="N469" s="3">
        <v>0</v>
      </c>
      <c r="O469">
        <v>0</v>
      </c>
      <c r="P469" t="s">
        <v>506</v>
      </c>
    </row>
    <row r="470" spans="1:16">
      <c r="A470" s="2">
        <v>46183</v>
      </c>
      <c r="B470" t="s">
        <v>540</v>
      </c>
      <c r="C470" t="s">
        <v>61</v>
      </c>
      <c r="D470" t="s">
        <v>34</v>
      </c>
      <c r="E470" t="s">
        <v>53</v>
      </c>
      <c r="F470" s="3">
        <v>1247.06</v>
      </c>
      <c r="G470" t="s">
        <v>36</v>
      </c>
      <c r="H470" t="s">
        <v>66</v>
      </c>
      <c r="I470">
        <v>30</v>
      </c>
      <c r="J470" s="2">
        <v>46213</v>
      </c>
      <c r="K470" t="s">
        <v>38</v>
      </c>
      <c r="L470" s="2"/>
      <c r="M470" s="3">
        <v>0</v>
      </c>
      <c r="N470" s="3">
        <v>1247.06</v>
      </c>
      <c r="O470">
        <v>0</v>
      </c>
      <c r="P470" t="s">
        <v>506</v>
      </c>
    </row>
    <row r="471" spans="1:16">
      <c r="A471" s="2">
        <v>46184</v>
      </c>
      <c r="B471" t="s">
        <v>541</v>
      </c>
      <c r="C471" t="s">
        <v>84</v>
      </c>
      <c r="D471" t="s">
        <v>42</v>
      </c>
      <c r="E471" t="s">
        <v>48</v>
      </c>
      <c r="F471" s="3">
        <v>1703.13</v>
      </c>
      <c r="G471" t="s">
        <v>36</v>
      </c>
      <c r="H471" t="s">
        <v>45</v>
      </c>
      <c r="I471">
        <v>15</v>
      </c>
      <c r="J471" s="2">
        <v>46199</v>
      </c>
      <c r="K471" t="s">
        <v>50</v>
      </c>
      <c r="L471" s="2">
        <v>46210</v>
      </c>
      <c r="M471" s="3">
        <v>1703.13</v>
      </c>
      <c r="N471" s="3">
        <v>0</v>
      </c>
      <c r="O471">
        <v>0</v>
      </c>
      <c r="P471" t="s">
        <v>506</v>
      </c>
    </row>
    <row r="472" spans="1:16">
      <c r="A472" s="2">
        <v>46184</v>
      </c>
      <c r="B472" t="s">
        <v>542</v>
      </c>
      <c r="C472" t="s">
        <v>68</v>
      </c>
      <c r="D472" t="s">
        <v>65</v>
      </c>
      <c r="E472" t="s">
        <v>48</v>
      </c>
      <c r="F472" s="3">
        <v>570.24</v>
      </c>
      <c r="G472" t="s">
        <v>71</v>
      </c>
      <c r="H472" t="s">
        <v>62</v>
      </c>
      <c r="I472">
        <v>15</v>
      </c>
      <c r="J472" s="2">
        <v>46199</v>
      </c>
      <c r="K472" t="s">
        <v>50</v>
      </c>
      <c r="L472" s="2">
        <v>46203</v>
      </c>
      <c r="M472" s="3">
        <v>570.24</v>
      </c>
      <c r="N472" s="3">
        <v>0</v>
      </c>
      <c r="O472">
        <v>0</v>
      </c>
      <c r="P472" t="s">
        <v>506</v>
      </c>
    </row>
    <row r="473" spans="1:16">
      <c r="A473" s="2">
        <v>46185</v>
      </c>
      <c r="B473" t="s">
        <v>543</v>
      </c>
      <c r="C473" t="s">
        <v>80</v>
      </c>
      <c r="D473" t="s">
        <v>42</v>
      </c>
      <c r="E473" t="s">
        <v>57</v>
      </c>
      <c r="F473" s="3">
        <v>2120.5500000000002</v>
      </c>
      <c r="G473" t="s">
        <v>36</v>
      </c>
      <c r="H473" t="s">
        <v>58</v>
      </c>
      <c r="I473">
        <v>30</v>
      </c>
      <c r="J473" s="2">
        <v>46215</v>
      </c>
      <c r="K473" t="s">
        <v>38</v>
      </c>
      <c r="L473" s="2"/>
      <c r="M473" s="3">
        <v>0</v>
      </c>
      <c r="N473" s="3">
        <v>2120.5500000000002</v>
      </c>
      <c r="O473">
        <v>0</v>
      </c>
      <c r="P473" t="s">
        <v>506</v>
      </c>
    </row>
    <row r="474" spans="1:16">
      <c r="A474" s="2">
        <v>46185</v>
      </c>
      <c r="B474" t="s">
        <v>544</v>
      </c>
      <c r="C474" t="s">
        <v>47</v>
      </c>
      <c r="D474" t="s">
        <v>65</v>
      </c>
      <c r="E474" t="s">
        <v>43</v>
      </c>
      <c r="F474" s="3">
        <v>494.41</v>
      </c>
      <c r="G474" t="s">
        <v>44</v>
      </c>
      <c r="H474" t="s">
        <v>45</v>
      </c>
      <c r="I474">
        <v>7</v>
      </c>
      <c r="J474" s="2">
        <v>46192</v>
      </c>
      <c r="K474" t="s">
        <v>50</v>
      </c>
      <c r="L474" s="2">
        <v>46201</v>
      </c>
      <c r="M474" s="3">
        <v>494.41</v>
      </c>
      <c r="N474" s="3">
        <v>0</v>
      </c>
      <c r="O474">
        <v>0</v>
      </c>
      <c r="P474" t="s">
        <v>506</v>
      </c>
    </row>
    <row r="475" spans="1:16">
      <c r="A475" s="2">
        <v>46185</v>
      </c>
      <c r="B475" t="s">
        <v>545</v>
      </c>
      <c r="C475" t="s">
        <v>41</v>
      </c>
      <c r="D475" t="s">
        <v>52</v>
      </c>
      <c r="E475" t="s">
        <v>43</v>
      </c>
      <c r="F475" s="3">
        <v>2383</v>
      </c>
      <c r="G475" t="s">
        <v>49</v>
      </c>
      <c r="H475" t="s">
        <v>62</v>
      </c>
      <c r="I475">
        <v>15</v>
      </c>
      <c r="J475" s="2">
        <v>46200</v>
      </c>
      <c r="K475" t="s">
        <v>50</v>
      </c>
      <c r="L475" s="2">
        <v>46203</v>
      </c>
      <c r="M475" s="3">
        <v>2383</v>
      </c>
      <c r="N475" s="3">
        <v>0</v>
      </c>
      <c r="O475">
        <v>0</v>
      </c>
      <c r="P475" t="s">
        <v>506</v>
      </c>
    </row>
    <row r="476" spans="1:16">
      <c r="A476" s="2">
        <v>46185</v>
      </c>
      <c r="B476" t="s">
        <v>546</v>
      </c>
      <c r="C476" t="s">
        <v>33</v>
      </c>
      <c r="D476" t="s">
        <v>34</v>
      </c>
      <c r="E476" t="s">
        <v>57</v>
      </c>
      <c r="F476" s="3">
        <v>1323.58</v>
      </c>
      <c r="G476" t="s">
        <v>49</v>
      </c>
      <c r="H476" t="s">
        <v>37</v>
      </c>
      <c r="I476">
        <v>45</v>
      </c>
      <c r="J476" s="2">
        <v>46230</v>
      </c>
      <c r="K476" t="s">
        <v>50</v>
      </c>
      <c r="L476" s="2">
        <v>46240</v>
      </c>
      <c r="M476" s="3">
        <v>1323.58</v>
      </c>
      <c r="N476" s="3">
        <v>0</v>
      </c>
      <c r="O476">
        <v>0</v>
      </c>
      <c r="P476" t="s">
        <v>506</v>
      </c>
    </row>
    <row r="477" spans="1:16">
      <c r="A477" s="2">
        <v>46186</v>
      </c>
      <c r="B477" t="s">
        <v>547</v>
      </c>
      <c r="C477" t="s">
        <v>80</v>
      </c>
      <c r="D477" t="s">
        <v>34</v>
      </c>
      <c r="E477" t="s">
        <v>57</v>
      </c>
      <c r="F477" s="3">
        <v>1142.8399999999999</v>
      </c>
      <c r="G477" t="s">
        <v>36</v>
      </c>
      <c r="H477" t="s">
        <v>58</v>
      </c>
      <c r="I477">
        <v>30</v>
      </c>
      <c r="J477" s="2">
        <v>46216</v>
      </c>
      <c r="K477" t="s">
        <v>50</v>
      </c>
      <c r="L477" s="2">
        <v>46223</v>
      </c>
      <c r="M477" s="3">
        <v>1142.8399999999999</v>
      </c>
      <c r="N477" s="3">
        <v>0</v>
      </c>
      <c r="O477">
        <v>0</v>
      </c>
      <c r="P477" t="s">
        <v>506</v>
      </c>
    </row>
    <row r="478" spans="1:16">
      <c r="A478" s="2">
        <v>46186</v>
      </c>
      <c r="B478" t="s">
        <v>548</v>
      </c>
      <c r="C478" t="s">
        <v>90</v>
      </c>
      <c r="D478" t="s">
        <v>34</v>
      </c>
      <c r="E478" t="s">
        <v>53</v>
      </c>
      <c r="F478" s="3">
        <v>2754.21</v>
      </c>
      <c r="G478" t="s">
        <v>36</v>
      </c>
      <c r="H478" t="s">
        <v>66</v>
      </c>
      <c r="I478">
        <v>30</v>
      </c>
      <c r="J478" s="2">
        <v>46216</v>
      </c>
      <c r="K478" t="s">
        <v>50</v>
      </c>
      <c r="L478" s="2">
        <v>46226</v>
      </c>
      <c r="M478" s="3">
        <v>2754.21</v>
      </c>
      <c r="N478" s="3">
        <v>0</v>
      </c>
      <c r="O478">
        <v>0</v>
      </c>
      <c r="P478" t="s">
        <v>506</v>
      </c>
    </row>
    <row r="479" spans="1:16">
      <c r="A479" s="2">
        <v>46186</v>
      </c>
      <c r="B479" t="s">
        <v>549</v>
      </c>
      <c r="C479" t="s">
        <v>56</v>
      </c>
      <c r="D479" t="s">
        <v>42</v>
      </c>
      <c r="E479" t="s">
        <v>43</v>
      </c>
      <c r="F479" s="3">
        <v>638.98</v>
      </c>
      <c r="G479" t="s">
        <v>36</v>
      </c>
      <c r="H479" t="s">
        <v>58</v>
      </c>
      <c r="I479">
        <v>30</v>
      </c>
      <c r="J479" s="2">
        <v>46216</v>
      </c>
      <c r="K479" t="s">
        <v>72</v>
      </c>
      <c r="L479" s="2"/>
      <c r="M479" s="3">
        <v>0</v>
      </c>
      <c r="N479" s="3">
        <v>638.98</v>
      </c>
      <c r="O479">
        <v>42</v>
      </c>
      <c r="P479" t="s">
        <v>506</v>
      </c>
    </row>
    <row r="480" spans="1:16">
      <c r="A480" s="2">
        <v>46187</v>
      </c>
      <c r="B480" t="s">
        <v>550</v>
      </c>
      <c r="C480" t="s">
        <v>90</v>
      </c>
      <c r="D480" t="s">
        <v>42</v>
      </c>
      <c r="E480" t="s">
        <v>43</v>
      </c>
      <c r="F480" s="3">
        <v>1538.07</v>
      </c>
      <c r="G480" t="s">
        <v>36</v>
      </c>
      <c r="H480" t="s">
        <v>58</v>
      </c>
      <c r="I480">
        <v>15</v>
      </c>
      <c r="J480" s="2">
        <v>46202</v>
      </c>
      <c r="K480" t="s">
        <v>50</v>
      </c>
      <c r="L480" s="2">
        <v>46211</v>
      </c>
      <c r="M480" s="3">
        <v>1538.07</v>
      </c>
      <c r="N480" s="3">
        <v>0</v>
      </c>
      <c r="O480">
        <v>0</v>
      </c>
      <c r="P480" t="s">
        <v>506</v>
      </c>
    </row>
    <row r="481" spans="1:16">
      <c r="A481" s="2">
        <v>46188</v>
      </c>
      <c r="B481" t="s">
        <v>551</v>
      </c>
      <c r="C481" t="s">
        <v>61</v>
      </c>
      <c r="D481" t="s">
        <v>52</v>
      </c>
      <c r="E481" t="s">
        <v>48</v>
      </c>
      <c r="F481" s="3">
        <v>1058.0899999999999</v>
      </c>
      <c r="G481" t="s">
        <v>36</v>
      </c>
      <c r="H481" t="s">
        <v>69</v>
      </c>
      <c r="I481">
        <v>30</v>
      </c>
      <c r="J481" s="2">
        <v>46218</v>
      </c>
      <c r="K481" t="s">
        <v>72</v>
      </c>
      <c r="L481" s="2"/>
      <c r="M481" s="3">
        <v>0</v>
      </c>
      <c r="N481" s="3">
        <v>1058.0899999999999</v>
      </c>
      <c r="O481">
        <v>40</v>
      </c>
      <c r="P481" t="s">
        <v>506</v>
      </c>
    </row>
    <row r="482" spans="1:16">
      <c r="A482" s="2">
        <v>46189</v>
      </c>
      <c r="B482" t="s">
        <v>552</v>
      </c>
      <c r="C482" t="s">
        <v>41</v>
      </c>
      <c r="D482" t="s">
        <v>52</v>
      </c>
      <c r="E482" t="s">
        <v>43</v>
      </c>
      <c r="F482" s="3">
        <v>2249.7399999999998</v>
      </c>
      <c r="G482" t="s">
        <v>71</v>
      </c>
      <c r="H482" t="s">
        <v>45</v>
      </c>
      <c r="I482">
        <v>30</v>
      </c>
      <c r="J482" s="2">
        <v>46219</v>
      </c>
      <c r="K482" t="s">
        <v>72</v>
      </c>
      <c r="L482" s="2"/>
      <c r="M482" s="3">
        <v>0</v>
      </c>
      <c r="N482" s="3">
        <v>2249.7399999999998</v>
      </c>
      <c r="O482">
        <v>39</v>
      </c>
      <c r="P482" t="s">
        <v>506</v>
      </c>
    </row>
    <row r="483" spans="1:16">
      <c r="A483" s="2">
        <v>46190</v>
      </c>
      <c r="B483" t="s">
        <v>553</v>
      </c>
      <c r="C483" t="s">
        <v>90</v>
      </c>
      <c r="D483" t="s">
        <v>42</v>
      </c>
      <c r="E483" t="s">
        <v>35</v>
      </c>
      <c r="F483" s="3">
        <v>2340.3000000000002</v>
      </c>
      <c r="G483" t="s">
        <v>44</v>
      </c>
      <c r="H483" t="s">
        <v>62</v>
      </c>
      <c r="I483">
        <v>30</v>
      </c>
      <c r="J483" s="2">
        <v>46220</v>
      </c>
      <c r="K483" t="s">
        <v>50</v>
      </c>
      <c r="L483" s="2">
        <v>46224</v>
      </c>
      <c r="M483" s="3">
        <v>2340.3000000000002</v>
      </c>
      <c r="N483" s="3">
        <v>0</v>
      </c>
      <c r="O483">
        <v>0</v>
      </c>
      <c r="P483" t="s">
        <v>506</v>
      </c>
    </row>
    <row r="484" spans="1:16">
      <c r="A484" s="2">
        <v>46190</v>
      </c>
      <c r="B484" t="s">
        <v>554</v>
      </c>
      <c r="C484" t="s">
        <v>61</v>
      </c>
      <c r="D484" t="s">
        <v>42</v>
      </c>
      <c r="E484" t="s">
        <v>43</v>
      </c>
      <c r="F484" s="3">
        <v>1272.7</v>
      </c>
      <c r="G484" t="s">
        <v>44</v>
      </c>
      <c r="H484" t="s">
        <v>45</v>
      </c>
      <c r="I484">
        <v>30</v>
      </c>
      <c r="J484" s="2">
        <v>46220</v>
      </c>
      <c r="K484" t="s">
        <v>72</v>
      </c>
      <c r="L484" s="2"/>
      <c r="M484" s="3">
        <v>0</v>
      </c>
      <c r="N484" s="3">
        <v>1272.7</v>
      </c>
      <c r="O484">
        <v>38</v>
      </c>
      <c r="P484" t="s">
        <v>506</v>
      </c>
    </row>
    <row r="485" spans="1:16">
      <c r="A485" s="2">
        <v>46190</v>
      </c>
      <c r="B485" t="s">
        <v>555</v>
      </c>
      <c r="C485" t="s">
        <v>90</v>
      </c>
      <c r="D485" t="s">
        <v>65</v>
      </c>
      <c r="E485" t="s">
        <v>43</v>
      </c>
      <c r="F485" s="3">
        <v>1282.02</v>
      </c>
      <c r="G485" t="s">
        <v>44</v>
      </c>
      <c r="H485" t="s">
        <v>69</v>
      </c>
      <c r="I485">
        <v>15</v>
      </c>
      <c r="J485" s="2">
        <v>46205</v>
      </c>
      <c r="K485" t="s">
        <v>50</v>
      </c>
      <c r="L485" s="2">
        <v>46207</v>
      </c>
      <c r="M485" s="3">
        <v>1282.02</v>
      </c>
      <c r="N485" s="3">
        <v>0</v>
      </c>
      <c r="O485">
        <v>0</v>
      </c>
      <c r="P485" t="s">
        <v>506</v>
      </c>
    </row>
    <row r="486" spans="1:16">
      <c r="A486" s="2">
        <v>46191</v>
      </c>
      <c r="B486" t="s">
        <v>556</v>
      </c>
      <c r="C486" t="s">
        <v>56</v>
      </c>
      <c r="D486" t="s">
        <v>42</v>
      </c>
      <c r="E486" t="s">
        <v>43</v>
      </c>
      <c r="F486" s="3">
        <v>260.77999999999997</v>
      </c>
      <c r="G486" t="s">
        <v>49</v>
      </c>
      <c r="H486" t="s">
        <v>58</v>
      </c>
      <c r="I486">
        <v>15</v>
      </c>
      <c r="J486" s="2">
        <v>46206</v>
      </c>
      <c r="K486" t="s">
        <v>38</v>
      </c>
      <c r="L486" s="2"/>
      <c r="M486" s="3">
        <v>0</v>
      </c>
      <c r="N486" s="3">
        <v>260.77999999999997</v>
      </c>
      <c r="O486">
        <v>0</v>
      </c>
      <c r="P486" t="s">
        <v>506</v>
      </c>
    </row>
    <row r="487" spans="1:16">
      <c r="A487" s="2">
        <v>46192</v>
      </c>
      <c r="B487" t="s">
        <v>557</v>
      </c>
      <c r="C487" t="s">
        <v>61</v>
      </c>
      <c r="D487" t="s">
        <v>34</v>
      </c>
      <c r="E487" t="s">
        <v>35</v>
      </c>
      <c r="F487" s="3">
        <v>613.59</v>
      </c>
      <c r="G487" t="s">
        <v>71</v>
      </c>
      <c r="H487" t="s">
        <v>69</v>
      </c>
      <c r="I487">
        <v>45</v>
      </c>
      <c r="J487" s="2">
        <v>46237</v>
      </c>
      <c r="K487" t="s">
        <v>50</v>
      </c>
      <c r="L487" s="2">
        <v>46244</v>
      </c>
      <c r="M487" s="3">
        <v>613.59</v>
      </c>
      <c r="N487" s="3">
        <v>0</v>
      </c>
      <c r="O487">
        <v>0</v>
      </c>
      <c r="P487" t="s">
        <v>506</v>
      </c>
    </row>
    <row r="488" spans="1:16">
      <c r="A488" s="2">
        <v>46192</v>
      </c>
      <c r="B488" t="s">
        <v>558</v>
      </c>
      <c r="C488" t="s">
        <v>74</v>
      </c>
      <c r="D488" t="s">
        <v>52</v>
      </c>
      <c r="E488" t="s">
        <v>35</v>
      </c>
      <c r="F488" s="3">
        <v>1757.81</v>
      </c>
      <c r="G488" t="s">
        <v>44</v>
      </c>
      <c r="H488" t="s">
        <v>37</v>
      </c>
      <c r="I488">
        <v>7</v>
      </c>
      <c r="J488" s="2">
        <v>46199</v>
      </c>
      <c r="K488" t="s">
        <v>50</v>
      </c>
      <c r="L488" s="2">
        <v>46210</v>
      </c>
      <c r="M488" s="3">
        <v>1757.81</v>
      </c>
      <c r="N488" s="3">
        <v>0</v>
      </c>
      <c r="O488">
        <v>0</v>
      </c>
      <c r="P488" t="s">
        <v>506</v>
      </c>
    </row>
    <row r="489" spans="1:16">
      <c r="A489" s="2">
        <v>46192</v>
      </c>
      <c r="B489" t="s">
        <v>559</v>
      </c>
      <c r="C489" t="s">
        <v>80</v>
      </c>
      <c r="D489" t="s">
        <v>42</v>
      </c>
      <c r="E489" t="s">
        <v>53</v>
      </c>
      <c r="F489" s="3">
        <v>2677.96</v>
      </c>
      <c r="G489" t="s">
        <v>49</v>
      </c>
      <c r="H489" t="s">
        <v>62</v>
      </c>
      <c r="I489">
        <v>15</v>
      </c>
      <c r="J489" s="2">
        <v>46207</v>
      </c>
      <c r="K489" t="s">
        <v>50</v>
      </c>
      <c r="L489" s="2">
        <v>46210</v>
      </c>
      <c r="M489" s="3">
        <v>2677.96</v>
      </c>
      <c r="N489" s="3">
        <v>0</v>
      </c>
      <c r="O489">
        <v>0</v>
      </c>
      <c r="P489" t="s">
        <v>506</v>
      </c>
    </row>
    <row r="490" spans="1:16">
      <c r="A490" s="2">
        <v>46192</v>
      </c>
      <c r="B490" t="s">
        <v>560</v>
      </c>
      <c r="C490" t="s">
        <v>47</v>
      </c>
      <c r="D490" t="s">
        <v>34</v>
      </c>
      <c r="E490" t="s">
        <v>57</v>
      </c>
      <c r="F490" s="3">
        <v>1901.57</v>
      </c>
      <c r="G490" t="s">
        <v>44</v>
      </c>
      <c r="H490" t="s">
        <v>45</v>
      </c>
      <c r="I490">
        <v>15</v>
      </c>
      <c r="J490" s="2">
        <v>46207</v>
      </c>
      <c r="K490" t="s">
        <v>50</v>
      </c>
      <c r="L490" s="2">
        <v>46217</v>
      </c>
      <c r="M490" s="3">
        <v>1901.57</v>
      </c>
      <c r="N490" s="3">
        <v>0</v>
      </c>
      <c r="O490">
        <v>0</v>
      </c>
      <c r="P490" t="s">
        <v>506</v>
      </c>
    </row>
    <row r="491" spans="1:16">
      <c r="A491" s="2">
        <v>46193</v>
      </c>
      <c r="B491" t="s">
        <v>561</v>
      </c>
      <c r="C491" t="s">
        <v>82</v>
      </c>
      <c r="D491" t="s">
        <v>42</v>
      </c>
      <c r="E491" t="s">
        <v>48</v>
      </c>
      <c r="F491" s="3">
        <v>1829.62</v>
      </c>
      <c r="G491" t="s">
        <v>44</v>
      </c>
      <c r="H491" t="s">
        <v>45</v>
      </c>
      <c r="I491">
        <v>7</v>
      </c>
      <c r="J491" s="2">
        <v>46200</v>
      </c>
      <c r="K491" t="s">
        <v>50</v>
      </c>
      <c r="L491" s="2">
        <v>46200</v>
      </c>
      <c r="M491" s="3">
        <v>1829.62</v>
      </c>
      <c r="N491" s="3">
        <v>0</v>
      </c>
      <c r="O491">
        <v>0</v>
      </c>
      <c r="P491" t="s">
        <v>506</v>
      </c>
    </row>
    <row r="492" spans="1:16">
      <c r="A492" s="2">
        <v>46193</v>
      </c>
      <c r="B492" t="s">
        <v>562</v>
      </c>
      <c r="C492" t="s">
        <v>74</v>
      </c>
      <c r="D492" t="s">
        <v>34</v>
      </c>
      <c r="E492" t="s">
        <v>48</v>
      </c>
      <c r="F492" s="3">
        <v>2043.92</v>
      </c>
      <c r="G492" t="s">
        <v>71</v>
      </c>
      <c r="H492" t="s">
        <v>66</v>
      </c>
      <c r="I492">
        <v>7</v>
      </c>
      <c r="J492" s="2">
        <v>46200</v>
      </c>
      <c r="K492" t="s">
        <v>50</v>
      </c>
      <c r="L492" s="2">
        <v>46209</v>
      </c>
      <c r="M492" s="3">
        <v>2043.92</v>
      </c>
      <c r="N492" s="3">
        <v>0</v>
      </c>
      <c r="O492">
        <v>0</v>
      </c>
      <c r="P492" t="s">
        <v>506</v>
      </c>
    </row>
    <row r="493" spans="1:16">
      <c r="A493" s="2">
        <v>46194</v>
      </c>
      <c r="B493" t="s">
        <v>563</v>
      </c>
      <c r="C493" t="s">
        <v>80</v>
      </c>
      <c r="D493" t="s">
        <v>42</v>
      </c>
      <c r="E493" t="s">
        <v>43</v>
      </c>
      <c r="F493" s="3">
        <v>1100.78</v>
      </c>
      <c r="G493" t="s">
        <v>36</v>
      </c>
      <c r="H493" t="s">
        <v>37</v>
      </c>
      <c r="I493">
        <v>30</v>
      </c>
      <c r="J493" s="2">
        <v>46224</v>
      </c>
      <c r="K493" t="s">
        <v>50</v>
      </c>
      <c r="L493" s="2">
        <v>46231</v>
      </c>
      <c r="M493" s="3">
        <v>1100.78</v>
      </c>
      <c r="N493" s="3">
        <v>0</v>
      </c>
      <c r="O493">
        <v>0</v>
      </c>
      <c r="P493" t="s">
        <v>506</v>
      </c>
    </row>
    <row r="494" spans="1:16">
      <c r="A494" s="2">
        <v>46194</v>
      </c>
      <c r="B494" t="s">
        <v>564</v>
      </c>
      <c r="C494" t="s">
        <v>68</v>
      </c>
      <c r="D494" t="s">
        <v>52</v>
      </c>
      <c r="E494" t="s">
        <v>53</v>
      </c>
      <c r="F494" s="3">
        <v>2533.39</v>
      </c>
      <c r="G494" t="s">
        <v>44</v>
      </c>
      <c r="H494" t="s">
        <v>45</v>
      </c>
      <c r="I494">
        <v>7</v>
      </c>
      <c r="J494" s="2">
        <v>46201</v>
      </c>
      <c r="K494" t="s">
        <v>50</v>
      </c>
      <c r="L494" s="2">
        <v>46211</v>
      </c>
      <c r="M494" s="3">
        <v>2533.39</v>
      </c>
      <c r="N494" s="3">
        <v>0</v>
      </c>
      <c r="O494">
        <v>0</v>
      </c>
      <c r="P494" t="s">
        <v>506</v>
      </c>
    </row>
    <row r="495" spans="1:16">
      <c r="A495" s="2">
        <v>46194</v>
      </c>
      <c r="B495" t="s">
        <v>565</v>
      </c>
      <c r="C495" t="s">
        <v>90</v>
      </c>
      <c r="D495" t="s">
        <v>34</v>
      </c>
      <c r="E495" t="s">
        <v>48</v>
      </c>
      <c r="F495" s="3">
        <v>1557.81</v>
      </c>
      <c r="G495" t="s">
        <v>44</v>
      </c>
      <c r="H495" t="s">
        <v>66</v>
      </c>
      <c r="I495">
        <v>45</v>
      </c>
      <c r="J495" s="2">
        <v>46239</v>
      </c>
      <c r="K495" t="s">
        <v>72</v>
      </c>
      <c r="L495" s="2"/>
      <c r="M495" s="3">
        <v>0</v>
      </c>
      <c r="N495" s="3">
        <v>1557.81</v>
      </c>
      <c r="O495">
        <v>19</v>
      </c>
      <c r="P495" t="s">
        <v>506</v>
      </c>
    </row>
    <row r="496" spans="1:16">
      <c r="A496" s="2">
        <v>46194</v>
      </c>
      <c r="B496" t="s">
        <v>566</v>
      </c>
      <c r="C496" t="s">
        <v>64</v>
      </c>
      <c r="D496" t="s">
        <v>34</v>
      </c>
      <c r="E496" t="s">
        <v>48</v>
      </c>
      <c r="F496" s="3">
        <v>3113.62</v>
      </c>
      <c r="G496" t="s">
        <v>71</v>
      </c>
      <c r="H496" t="s">
        <v>62</v>
      </c>
      <c r="I496">
        <v>30</v>
      </c>
      <c r="J496" s="2">
        <v>46224</v>
      </c>
      <c r="K496" t="s">
        <v>50</v>
      </c>
      <c r="L496" s="2">
        <v>46224</v>
      </c>
      <c r="M496" s="3">
        <v>3113.62</v>
      </c>
      <c r="N496" s="3">
        <v>0</v>
      </c>
      <c r="O496">
        <v>0</v>
      </c>
      <c r="P496" t="s">
        <v>506</v>
      </c>
    </row>
    <row r="497" spans="1:16">
      <c r="A497" s="2">
        <v>46194</v>
      </c>
      <c r="B497" t="s">
        <v>567</v>
      </c>
      <c r="C497" t="s">
        <v>56</v>
      </c>
      <c r="D497" t="s">
        <v>34</v>
      </c>
      <c r="E497" t="s">
        <v>57</v>
      </c>
      <c r="F497" s="3">
        <v>1465.21</v>
      </c>
      <c r="G497" t="s">
        <v>44</v>
      </c>
      <c r="H497" t="s">
        <v>69</v>
      </c>
      <c r="I497">
        <v>7</v>
      </c>
      <c r="J497" s="2">
        <v>46201</v>
      </c>
      <c r="K497" t="s">
        <v>50</v>
      </c>
      <c r="L497" s="2">
        <v>46210</v>
      </c>
      <c r="M497" s="3">
        <v>1465.21</v>
      </c>
      <c r="N497" s="3">
        <v>0</v>
      </c>
      <c r="O497">
        <v>0</v>
      </c>
      <c r="P497" t="s">
        <v>506</v>
      </c>
    </row>
    <row r="498" spans="1:16">
      <c r="A498" s="2">
        <v>46195</v>
      </c>
      <c r="B498" t="s">
        <v>568</v>
      </c>
      <c r="C498" t="s">
        <v>90</v>
      </c>
      <c r="D498" t="s">
        <v>65</v>
      </c>
      <c r="E498" t="s">
        <v>35</v>
      </c>
      <c r="F498" s="3">
        <v>1453.51</v>
      </c>
      <c r="G498" t="s">
        <v>36</v>
      </c>
      <c r="H498" t="s">
        <v>69</v>
      </c>
      <c r="I498">
        <v>7</v>
      </c>
      <c r="J498" s="2">
        <v>46202</v>
      </c>
      <c r="K498" t="s">
        <v>50</v>
      </c>
      <c r="L498" s="2">
        <v>46205</v>
      </c>
      <c r="M498" s="3">
        <v>1453.51</v>
      </c>
      <c r="N498" s="3">
        <v>0</v>
      </c>
      <c r="O498">
        <v>0</v>
      </c>
      <c r="P498" t="s">
        <v>506</v>
      </c>
    </row>
    <row r="499" spans="1:16">
      <c r="A499" s="2">
        <v>46196</v>
      </c>
      <c r="B499" t="s">
        <v>569</v>
      </c>
      <c r="C499" t="s">
        <v>68</v>
      </c>
      <c r="D499" t="s">
        <v>34</v>
      </c>
      <c r="E499" t="s">
        <v>43</v>
      </c>
      <c r="F499" s="3">
        <v>1802.99</v>
      </c>
      <c r="G499" t="s">
        <v>36</v>
      </c>
      <c r="H499" t="s">
        <v>66</v>
      </c>
      <c r="I499">
        <v>45</v>
      </c>
      <c r="J499" s="2">
        <v>46241</v>
      </c>
      <c r="K499" t="s">
        <v>38</v>
      </c>
      <c r="L499" s="2"/>
      <c r="M499" s="3">
        <v>0</v>
      </c>
      <c r="N499" s="3">
        <v>1802.99</v>
      </c>
      <c r="O499">
        <v>0</v>
      </c>
      <c r="P499" t="s">
        <v>506</v>
      </c>
    </row>
    <row r="500" spans="1:16">
      <c r="A500" s="2">
        <v>46197</v>
      </c>
      <c r="B500" t="s">
        <v>570</v>
      </c>
      <c r="C500" t="s">
        <v>84</v>
      </c>
      <c r="D500" t="s">
        <v>65</v>
      </c>
      <c r="E500" t="s">
        <v>43</v>
      </c>
      <c r="F500" s="3">
        <v>1251.49</v>
      </c>
      <c r="G500" t="s">
        <v>36</v>
      </c>
      <c r="H500" t="s">
        <v>58</v>
      </c>
      <c r="I500">
        <v>30</v>
      </c>
      <c r="J500" s="2">
        <v>46227</v>
      </c>
      <c r="K500" t="s">
        <v>50</v>
      </c>
      <c r="L500" s="2">
        <v>46227</v>
      </c>
      <c r="M500" s="3">
        <v>1251.49</v>
      </c>
      <c r="N500" s="3">
        <v>0</v>
      </c>
      <c r="O500">
        <v>0</v>
      </c>
      <c r="P500" t="s">
        <v>506</v>
      </c>
    </row>
    <row r="501" spans="1:16">
      <c r="A501" s="2">
        <v>46197</v>
      </c>
      <c r="B501" t="s">
        <v>571</v>
      </c>
      <c r="C501" t="s">
        <v>84</v>
      </c>
      <c r="D501" t="s">
        <v>34</v>
      </c>
      <c r="E501" t="s">
        <v>57</v>
      </c>
      <c r="F501" s="3">
        <v>2737.88</v>
      </c>
      <c r="G501" t="s">
        <v>44</v>
      </c>
      <c r="H501" t="s">
        <v>69</v>
      </c>
      <c r="I501">
        <v>30</v>
      </c>
      <c r="J501" s="2">
        <v>46227</v>
      </c>
      <c r="K501" t="s">
        <v>50</v>
      </c>
      <c r="L501" s="2">
        <v>46228</v>
      </c>
      <c r="M501" s="3">
        <v>2737.88</v>
      </c>
      <c r="N501" s="3">
        <v>0</v>
      </c>
      <c r="O501">
        <v>0</v>
      </c>
      <c r="P501" t="s">
        <v>506</v>
      </c>
    </row>
    <row r="502" spans="1:16">
      <c r="A502" s="2">
        <v>46197</v>
      </c>
      <c r="B502" t="s">
        <v>572</v>
      </c>
      <c r="C502" t="s">
        <v>33</v>
      </c>
      <c r="D502" t="s">
        <v>42</v>
      </c>
      <c r="E502" t="s">
        <v>48</v>
      </c>
      <c r="F502" s="3">
        <v>9963.17</v>
      </c>
      <c r="G502" t="s">
        <v>44</v>
      </c>
      <c r="H502" t="s">
        <v>62</v>
      </c>
      <c r="I502">
        <v>30</v>
      </c>
      <c r="J502" s="2">
        <v>46227</v>
      </c>
      <c r="K502" t="s">
        <v>38</v>
      </c>
      <c r="L502" s="2"/>
      <c r="M502" s="3">
        <v>0</v>
      </c>
      <c r="N502" s="3">
        <v>9963.17</v>
      </c>
      <c r="O502">
        <v>0</v>
      </c>
      <c r="P502" t="s">
        <v>506</v>
      </c>
    </row>
    <row r="503" spans="1:16">
      <c r="A503" s="2">
        <v>46197</v>
      </c>
      <c r="B503" t="s">
        <v>573</v>
      </c>
      <c r="C503" t="s">
        <v>56</v>
      </c>
      <c r="D503" t="s">
        <v>52</v>
      </c>
      <c r="E503" t="s">
        <v>48</v>
      </c>
      <c r="F503" s="3">
        <v>4293.6899999999996</v>
      </c>
      <c r="G503" t="s">
        <v>44</v>
      </c>
      <c r="H503" t="s">
        <v>66</v>
      </c>
      <c r="I503">
        <v>15</v>
      </c>
      <c r="J503" s="2">
        <v>46212</v>
      </c>
      <c r="K503" t="s">
        <v>50</v>
      </c>
      <c r="L503" s="2">
        <v>46216</v>
      </c>
      <c r="M503" s="3">
        <v>4293.6899999999996</v>
      </c>
      <c r="N503" s="3">
        <v>0</v>
      </c>
      <c r="O503">
        <v>0</v>
      </c>
      <c r="P503" t="s">
        <v>506</v>
      </c>
    </row>
    <row r="504" spans="1:16">
      <c r="A504" s="2">
        <v>46198</v>
      </c>
      <c r="B504" t="s">
        <v>574</v>
      </c>
      <c r="C504" t="s">
        <v>33</v>
      </c>
      <c r="D504" t="s">
        <v>42</v>
      </c>
      <c r="E504" t="s">
        <v>53</v>
      </c>
      <c r="F504" s="3">
        <v>5030.08</v>
      </c>
      <c r="G504" t="s">
        <v>44</v>
      </c>
      <c r="H504" t="s">
        <v>58</v>
      </c>
      <c r="I504">
        <v>30</v>
      </c>
      <c r="J504" s="2">
        <v>46228</v>
      </c>
      <c r="K504" t="s">
        <v>50</v>
      </c>
      <c r="L504" s="2">
        <v>46237</v>
      </c>
      <c r="M504" s="3">
        <v>5030.08</v>
      </c>
      <c r="N504" s="3">
        <v>0</v>
      </c>
      <c r="O504">
        <v>0</v>
      </c>
      <c r="P504" t="s">
        <v>506</v>
      </c>
    </row>
    <row r="505" spans="1:16">
      <c r="A505" s="2">
        <v>46198</v>
      </c>
      <c r="B505" t="s">
        <v>575</v>
      </c>
      <c r="C505" t="s">
        <v>80</v>
      </c>
      <c r="D505" t="s">
        <v>34</v>
      </c>
      <c r="E505" t="s">
        <v>35</v>
      </c>
      <c r="F505" s="3">
        <v>818.6</v>
      </c>
      <c r="G505" t="s">
        <v>71</v>
      </c>
      <c r="H505" t="s">
        <v>58</v>
      </c>
      <c r="I505">
        <v>15</v>
      </c>
      <c r="J505" s="2">
        <v>46213</v>
      </c>
      <c r="K505" t="s">
        <v>50</v>
      </c>
      <c r="L505" s="2">
        <v>46222</v>
      </c>
      <c r="M505" s="3">
        <v>818.6</v>
      </c>
      <c r="N505" s="3">
        <v>0</v>
      </c>
      <c r="O505">
        <v>0</v>
      </c>
      <c r="P505" t="s">
        <v>506</v>
      </c>
    </row>
    <row r="506" spans="1:16">
      <c r="A506" s="2">
        <v>46198</v>
      </c>
      <c r="B506" t="s">
        <v>576</v>
      </c>
      <c r="C506" t="s">
        <v>61</v>
      </c>
      <c r="D506" t="s">
        <v>34</v>
      </c>
      <c r="E506" t="s">
        <v>57</v>
      </c>
      <c r="F506" s="3">
        <v>3180.84</v>
      </c>
      <c r="G506" t="s">
        <v>71</v>
      </c>
      <c r="H506" t="s">
        <v>58</v>
      </c>
      <c r="I506">
        <v>15</v>
      </c>
      <c r="J506" s="2">
        <v>46213</v>
      </c>
      <c r="K506" t="s">
        <v>50</v>
      </c>
      <c r="L506" s="2">
        <v>46215</v>
      </c>
      <c r="M506" s="3">
        <v>3180.84</v>
      </c>
      <c r="N506" s="3">
        <v>0</v>
      </c>
      <c r="O506">
        <v>0</v>
      </c>
      <c r="P506" t="s">
        <v>506</v>
      </c>
    </row>
    <row r="507" spans="1:16">
      <c r="A507" s="2">
        <v>46200</v>
      </c>
      <c r="B507" t="s">
        <v>577</v>
      </c>
      <c r="C507" t="s">
        <v>61</v>
      </c>
      <c r="D507" t="s">
        <v>34</v>
      </c>
      <c r="E507" t="s">
        <v>48</v>
      </c>
      <c r="F507" s="3">
        <v>5215.21</v>
      </c>
      <c r="G507" t="s">
        <v>36</v>
      </c>
      <c r="H507" t="s">
        <v>66</v>
      </c>
      <c r="I507">
        <v>7</v>
      </c>
      <c r="J507" s="2">
        <v>46207</v>
      </c>
      <c r="K507" t="s">
        <v>38</v>
      </c>
      <c r="L507" s="2"/>
      <c r="M507" s="3">
        <v>0</v>
      </c>
      <c r="N507" s="3">
        <v>5215.21</v>
      </c>
      <c r="O507">
        <v>0</v>
      </c>
      <c r="P507" t="s">
        <v>506</v>
      </c>
    </row>
    <row r="508" spans="1:16">
      <c r="A508" s="2">
        <v>46200</v>
      </c>
      <c r="B508" t="s">
        <v>578</v>
      </c>
      <c r="C508" t="s">
        <v>74</v>
      </c>
      <c r="D508" t="s">
        <v>65</v>
      </c>
      <c r="E508" t="s">
        <v>35</v>
      </c>
      <c r="F508" s="3">
        <v>492.78</v>
      </c>
      <c r="G508" t="s">
        <v>36</v>
      </c>
      <c r="H508" t="s">
        <v>69</v>
      </c>
      <c r="I508">
        <v>15</v>
      </c>
      <c r="J508" s="2">
        <v>46215</v>
      </c>
      <c r="K508" t="s">
        <v>50</v>
      </c>
      <c r="L508" s="2">
        <v>46217</v>
      </c>
      <c r="M508" s="3">
        <v>492.78</v>
      </c>
      <c r="N508" s="3">
        <v>0</v>
      </c>
      <c r="O508">
        <v>0</v>
      </c>
      <c r="P508" t="s">
        <v>506</v>
      </c>
    </row>
    <row r="509" spans="1:16">
      <c r="A509" s="2">
        <v>46201</v>
      </c>
      <c r="B509" t="s">
        <v>579</v>
      </c>
      <c r="C509" t="s">
        <v>61</v>
      </c>
      <c r="D509" t="s">
        <v>52</v>
      </c>
      <c r="E509" t="s">
        <v>57</v>
      </c>
      <c r="F509" s="3">
        <v>6532.53</v>
      </c>
      <c r="G509" t="s">
        <v>44</v>
      </c>
      <c r="H509" t="s">
        <v>69</v>
      </c>
      <c r="I509">
        <v>15</v>
      </c>
      <c r="J509" s="2">
        <v>46216</v>
      </c>
      <c r="K509" t="s">
        <v>50</v>
      </c>
      <c r="L509" s="2">
        <v>46221</v>
      </c>
      <c r="M509" s="3">
        <v>6532.53</v>
      </c>
      <c r="N509" s="3">
        <v>0</v>
      </c>
      <c r="O509">
        <v>0</v>
      </c>
      <c r="P509" t="s">
        <v>506</v>
      </c>
    </row>
    <row r="510" spans="1:16">
      <c r="A510" s="2">
        <v>46201</v>
      </c>
      <c r="B510" t="s">
        <v>580</v>
      </c>
      <c r="C510" t="s">
        <v>84</v>
      </c>
      <c r="D510" t="s">
        <v>34</v>
      </c>
      <c r="E510" t="s">
        <v>57</v>
      </c>
      <c r="F510" s="3">
        <v>1535.15</v>
      </c>
      <c r="G510" t="s">
        <v>36</v>
      </c>
      <c r="H510" t="s">
        <v>62</v>
      </c>
      <c r="I510">
        <v>30</v>
      </c>
      <c r="J510" s="2">
        <v>46231</v>
      </c>
      <c r="K510" t="s">
        <v>50</v>
      </c>
      <c r="L510" s="2">
        <v>46231</v>
      </c>
      <c r="M510" s="3">
        <v>1535.15</v>
      </c>
      <c r="N510" s="3">
        <v>0</v>
      </c>
      <c r="O510">
        <v>0</v>
      </c>
      <c r="P510" t="s">
        <v>506</v>
      </c>
    </row>
    <row r="511" spans="1:16">
      <c r="A511" s="2">
        <v>46201</v>
      </c>
      <c r="B511" t="s">
        <v>581</v>
      </c>
      <c r="C511" t="s">
        <v>68</v>
      </c>
      <c r="D511" t="s">
        <v>65</v>
      </c>
      <c r="E511" t="s">
        <v>35</v>
      </c>
      <c r="F511" s="3">
        <v>4547.2700000000004</v>
      </c>
      <c r="G511" t="s">
        <v>49</v>
      </c>
      <c r="H511" t="s">
        <v>45</v>
      </c>
      <c r="I511">
        <v>30</v>
      </c>
      <c r="J511" s="2">
        <v>46231</v>
      </c>
      <c r="K511" t="s">
        <v>50</v>
      </c>
      <c r="L511" s="2">
        <v>46234</v>
      </c>
      <c r="M511" s="3">
        <v>4547.2700000000004</v>
      </c>
      <c r="N511" s="3">
        <v>0</v>
      </c>
      <c r="O511">
        <v>0</v>
      </c>
      <c r="P511" t="s">
        <v>506</v>
      </c>
    </row>
    <row r="512" spans="1:16">
      <c r="A512" s="2">
        <v>46202</v>
      </c>
      <c r="B512" t="s">
        <v>582</v>
      </c>
      <c r="C512" t="s">
        <v>33</v>
      </c>
      <c r="D512" t="s">
        <v>52</v>
      </c>
      <c r="E512" t="s">
        <v>43</v>
      </c>
      <c r="F512" s="3">
        <v>677.53</v>
      </c>
      <c r="G512" t="s">
        <v>36</v>
      </c>
      <c r="H512" t="s">
        <v>62</v>
      </c>
      <c r="I512">
        <v>30</v>
      </c>
      <c r="J512" s="2">
        <v>46232</v>
      </c>
      <c r="K512" t="s">
        <v>50</v>
      </c>
      <c r="L512" s="2">
        <v>46237</v>
      </c>
      <c r="M512" s="3">
        <v>677.53</v>
      </c>
      <c r="N512" s="3">
        <v>0</v>
      </c>
      <c r="O512">
        <v>0</v>
      </c>
      <c r="P512" t="s">
        <v>506</v>
      </c>
    </row>
    <row r="513" spans="1:16">
      <c r="A513" s="2">
        <v>46202</v>
      </c>
      <c r="B513" t="s">
        <v>583</v>
      </c>
      <c r="C513" t="s">
        <v>80</v>
      </c>
      <c r="D513" t="s">
        <v>34</v>
      </c>
      <c r="E513" t="s">
        <v>48</v>
      </c>
      <c r="F513" s="3">
        <v>2571.58</v>
      </c>
      <c r="G513" t="s">
        <v>71</v>
      </c>
      <c r="H513" t="s">
        <v>69</v>
      </c>
      <c r="I513">
        <v>7</v>
      </c>
      <c r="J513" s="2">
        <v>46209</v>
      </c>
      <c r="K513" t="s">
        <v>50</v>
      </c>
      <c r="L513" s="2">
        <v>46212</v>
      </c>
      <c r="M513" s="3">
        <v>2571.58</v>
      </c>
      <c r="N513" s="3">
        <v>0</v>
      </c>
      <c r="O513">
        <v>0</v>
      </c>
      <c r="P513" t="s">
        <v>506</v>
      </c>
    </row>
    <row r="514" spans="1:16">
      <c r="A514" s="2">
        <v>46202</v>
      </c>
      <c r="B514" t="s">
        <v>584</v>
      </c>
      <c r="C514" t="s">
        <v>80</v>
      </c>
      <c r="D514" t="s">
        <v>52</v>
      </c>
      <c r="E514" t="s">
        <v>53</v>
      </c>
      <c r="F514" s="3">
        <v>817.08</v>
      </c>
      <c r="G514" t="s">
        <v>49</v>
      </c>
      <c r="H514" t="s">
        <v>69</v>
      </c>
      <c r="I514">
        <v>45</v>
      </c>
      <c r="J514" s="2">
        <v>46247</v>
      </c>
      <c r="K514" t="s">
        <v>50</v>
      </c>
      <c r="L514" s="2">
        <v>46253</v>
      </c>
      <c r="M514" s="3">
        <v>817.08</v>
      </c>
      <c r="N514" s="3">
        <v>0</v>
      </c>
      <c r="O514">
        <v>0</v>
      </c>
      <c r="P514" t="s">
        <v>506</v>
      </c>
    </row>
    <row r="515" spans="1:16">
      <c r="A515" s="2">
        <v>46202</v>
      </c>
      <c r="B515" t="s">
        <v>585</v>
      </c>
      <c r="C515" t="s">
        <v>64</v>
      </c>
      <c r="D515" t="s">
        <v>52</v>
      </c>
      <c r="E515" t="s">
        <v>35</v>
      </c>
      <c r="F515" s="3">
        <v>2081.12</v>
      </c>
      <c r="G515" t="s">
        <v>71</v>
      </c>
      <c r="H515" t="s">
        <v>69</v>
      </c>
      <c r="I515">
        <v>30</v>
      </c>
      <c r="J515" s="2">
        <v>46232</v>
      </c>
      <c r="K515" t="s">
        <v>50</v>
      </c>
      <c r="L515" s="2">
        <v>46241</v>
      </c>
      <c r="M515" s="3">
        <v>2081.12</v>
      </c>
      <c r="N515" s="3">
        <v>0</v>
      </c>
      <c r="O515">
        <v>0</v>
      </c>
      <c r="P515" t="s">
        <v>506</v>
      </c>
    </row>
    <row r="516" spans="1:16">
      <c r="A516" s="2">
        <v>46203</v>
      </c>
      <c r="B516" t="s">
        <v>586</v>
      </c>
      <c r="C516" t="s">
        <v>41</v>
      </c>
      <c r="D516" t="s">
        <v>42</v>
      </c>
      <c r="E516" t="s">
        <v>53</v>
      </c>
      <c r="F516" s="3">
        <v>3687.41</v>
      </c>
      <c r="G516" t="s">
        <v>49</v>
      </c>
      <c r="H516" t="s">
        <v>45</v>
      </c>
      <c r="I516">
        <v>30</v>
      </c>
      <c r="J516" s="2">
        <v>46233</v>
      </c>
      <c r="K516" t="s">
        <v>38</v>
      </c>
      <c r="L516" s="2"/>
      <c r="M516" s="3">
        <v>0</v>
      </c>
      <c r="N516" s="3">
        <v>3687.41</v>
      </c>
      <c r="O516">
        <v>0</v>
      </c>
      <c r="P516" t="s">
        <v>506</v>
      </c>
    </row>
    <row r="517" spans="1:16">
      <c r="A517" s="2">
        <v>46204</v>
      </c>
      <c r="B517" t="s">
        <v>587</v>
      </c>
      <c r="C517" t="s">
        <v>82</v>
      </c>
      <c r="D517" t="s">
        <v>34</v>
      </c>
      <c r="E517" t="s">
        <v>57</v>
      </c>
      <c r="F517" s="3">
        <v>627.95000000000005</v>
      </c>
      <c r="G517" t="s">
        <v>44</v>
      </c>
      <c r="H517" t="s">
        <v>45</v>
      </c>
      <c r="I517">
        <v>15</v>
      </c>
      <c r="J517" s="2">
        <v>46219</v>
      </c>
      <c r="K517" t="s">
        <v>38</v>
      </c>
      <c r="L517" s="2"/>
      <c r="M517" s="3">
        <v>0</v>
      </c>
      <c r="N517" s="3">
        <v>627.95000000000005</v>
      </c>
      <c r="O517">
        <v>0</v>
      </c>
      <c r="P517" t="s">
        <v>588</v>
      </c>
    </row>
    <row r="518" spans="1:16">
      <c r="A518" s="2">
        <v>46205</v>
      </c>
      <c r="B518" t="s">
        <v>589</v>
      </c>
      <c r="C518" t="s">
        <v>68</v>
      </c>
      <c r="D518" t="s">
        <v>34</v>
      </c>
      <c r="E518" t="s">
        <v>53</v>
      </c>
      <c r="F518" s="3">
        <v>804.63</v>
      </c>
      <c r="G518" t="s">
        <v>44</v>
      </c>
      <c r="H518" t="s">
        <v>69</v>
      </c>
      <c r="I518">
        <v>30</v>
      </c>
      <c r="J518" s="2">
        <v>46235</v>
      </c>
      <c r="K518" t="s">
        <v>50</v>
      </c>
      <c r="L518" s="2">
        <v>46241</v>
      </c>
      <c r="M518" s="3">
        <v>804.63</v>
      </c>
      <c r="N518" s="3">
        <v>0</v>
      </c>
      <c r="O518">
        <v>0</v>
      </c>
      <c r="P518" t="s">
        <v>588</v>
      </c>
    </row>
    <row r="519" spans="1:16">
      <c r="A519" s="2">
        <v>46205</v>
      </c>
      <c r="B519" t="s">
        <v>590</v>
      </c>
      <c r="C519" t="s">
        <v>33</v>
      </c>
      <c r="D519" t="s">
        <v>42</v>
      </c>
      <c r="E519" t="s">
        <v>48</v>
      </c>
      <c r="F519" s="3">
        <v>1489.19</v>
      </c>
      <c r="G519" t="s">
        <v>71</v>
      </c>
      <c r="H519" t="s">
        <v>45</v>
      </c>
      <c r="I519">
        <v>45</v>
      </c>
      <c r="J519" s="2">
        <v>46250</v>
      </c>
      <c r="K519" t="s">
        <v>50</v>
      </c>
      <c r="L519" s="2">
        <v>46253</v>
      </c>
      <c r="M519" s="3">
        <v>1489.19</v>
      </c>
      <c r="N519" s="3">
        <v>0</v>
      </c>
      <c r="O519">
        <v>0</v>
      </c>
      <c r="P519" t="s">
        <v>588</v>
      </c>
    </row>
    <row r="520" spans="1:16">
      <c r="A520" s="2">
        <v>46206</v>
      </c>
      <c r="B520" t="s">
        <v>591</v>
      </c>
      <c r="C520" t="s">
        <v>47</v>
      </c>
      <c r="D520" t="s">
        <v>34</v>
      </c>
      <c r="E520" t="s">
        <v>57</v>
      </c>
      <c r="F520" s="3">
        <v>637.54</v>
      </c>
      <c r="G520" t="s">
        <v>71</v>
      </c>
      <c r="H520" t="s">
        <v>66</v>
      </c>
      <c r="I520">
        <v>30</v>
      </c>
      <c r="J520" s="2">
        <v>46236</v>
      </c>
      <c r="K520" t="s">
        <v>38</v>
      </c>
      <c r="L520" s="2"/>
      <c r="M520" s="3">
        <v>0</v>
      </c>
      <c r="N520" s="3">
        <v>637.54</v>
      </c>
      <c r="O520">
        <v>0</v>
      </c>
      <c r="P520" t="s">
        <v>588</v>
      </c>
    </row>
    <row r="521" spans="1:16">
      <c r="A521" s="2">
        <v>46206</v>
      </c>
      <c r="B521" t="s">
        <v>592</v>
      </c>
      <c r="C521" t="s">
        <v>90</v>
      </c>
      <c r="D521" t="s">
        <v>65</v>
      </c>
      <c r="E521" t="s">
        <v>43</v>
      </c>
      <c r="F521" s="3">
        <v>952.8</v>
      </c>
      <c r="G521" t="s">
        <v>44</v>
      </c>
      <c r="H521" t="s">
        <v>58</v>
      </c>
      <c r="I521">
        <v>45</v>
      </c>
      <c r="J521" s="2">
        <v>46251</v>
      </c>
      <c r="K521" t="s">
        <v>50</v>
      </c>
      <c r="L521" s="2">
        <v>46262</v>
      </c>
      <c r="M521" s="3">
        <v>952.8</v>
      </c>
      <c r="N521" s="3">
        <v>0</v>
      </c>
      <c r="O521">
        <v>0</v>
      </c>
      <c r="P521" t="s">
        <v>588</v>
      </c>
    </row>
    <row r="522" spans="1:16">
      <c r="A522" s="2">
        <v>46207</v>
      </c>
      <c r="B522" t="s">
        <v>593</v>
      </c>
      <c r="C522" t="s">
        <v>41</v>
      </c>
      <c r="D522" t="s">
        <v>65</v>
      </c>
      <c r="E522" t="s">
        <v>43</v>
      </c>
      <c r="F522" s="3">
        <v>711.15</v>
      </c>
      <c r="G522" t="s">
        <v>71</v>
      </c>
      <c r="H522" t="s">
        <v>66</v>
      </c>
      <c r="I522">
        <v>45</v>
      </c>
      <c r="J522" s="2">
        <v>46252</v>
      </c>
      <c r="K522" t="s">
        <v>72</v>
      </c>
      <c r="L522" s="2"/>
      <c r="M522" s="3">
        <v>0</v>
      </c>
      <c r="N522" s="3">
        <v>711.15</v>
      </c>
      <c r="O522">
        <v>6</v>
      </c>
      <c r="P522" t="s">
        <v>588</v>
      </c>
    </row>
    <row r="523" spans="1:16">
      <c r="A523" s="2">
        <v>46207</v>
      </c>
      <c r="B523" t="s">
        <v>594</v>
      </c>
      <c r="C523" t="s">
        <v>41</v>
      </c>
      <c r="D523" t="s">
        <v>42</v>
      </c>
      <c r="E523" t="s">
        <v>57</v>
      </c>
      <c r="F523" s="3">
        <v>1666.54</v>
      </c>
      <c r="G523" t="s">
        <v>44</v>
      </c>
      <c r="H523" t="s">
        <v>58</v>
      </c>
      <c r="I523">
        <v>45</v>
      </c>
      <c r="J523" s="2">
        <v>46252</v>
      </c>
      <c r="K523" t="s">
        <v>72</v>
      </c>
      <c r="L523" s="2"/>
      <c r="M523" s="3">
        <v>0</v>
      </c>
      <c r="N523" s="3">
        <v>1666.54</v>
      </c>
      <c r="O523">
        <v>6</v>
      </c>
      <c r="P523" t="s">
        <v>588</v>
      </c>
    </row>
    <row r="524" spans="1:16">
      <c r="A524" s="2">
        <v>46207</v>
      </c>
      <c r="B524" t="s">
        <v>595</v>
      </c>
      <c r="C524" t="s">
        <v>33</v>
      </c>
      <c r="D524" t="s">
        <v>42</v>
      </c>
      <c r="E524" t="s">
        <v>48</v>
      </c>
      <c r="F524" s="3">
        <v>808.59</v>
      </c>
      <c r="G524" t="s">
        <v>36</v>
      </c>
      <c r="H524" t="s">
        <v>66</v>
      </c>
      <c r="I524">
        <v>7</v>
      </c>
      <c r="J524" s="2">
        <v>46214</v>
      </c>
      <c r="K524" t="s">
        <v>50</v>
      </c>
      <c r="L524" s="2">
        <v>46218</v>
      </c>
      <c r="M524" s="3">
        <v>808.59</v>
      </c>
      <c r="N524" s="3">
        <v>0</v>
      </c>
      <c r="O524">
        <v>0</v>
      </c>
      <c r="P524" t="s">
        <v>588</v>
      </c>
    </row>
    <row r="525" spans="1:16">
      <c r="A525" s="2">
        <v>46208</v>
      </c>
      <c r="B525" t="s">
        <v>596</v>
      </c>
      <c r="C525" t="s">
        <v>64</v>
      </c>
      <c r="D525" t="s">
        <v>34</v>
      </c>
      <c r="E525" t="s">
        <v>35</v>
      </c>
      <c r="F525" s="3">
        <v>1186.6199999999999</v>
      </c>
      <c r="G525" t="s">
        <v>44</v>
      </c>
      <c r="H525" t="s">
        <v>45</v>
      </c>
      <c r="I525">
        <v>30</v>
      </c>
      <c r="J525" s="2">
        <v>46238</v>
      </c>
      <c r="K525" t="s">
        <v>72</v>
      </c>
      <c r="L525" s="2"/>
      <c r="M525" s="3">
        <v>0</v>
      </c>
      <c r="N525" s="3">
        <v>1186.6199999999999</v>
      </c>
      <c r="O525">
        <v>20</v>
      </c>
      <c r="P525" t="s">
        <v>588</v>
      </c>
    </row>
    <row r="526" spans="1:16">
      <c r="A526" s="2">
        <v>46208</v>
      </c>
      <c r="B526" t="s">
        <v>597</v>
      </c>
      <c r="C526" t="s">
        <v>61</v>
      </c>
      <c r="D526" t="s">
        <v>34</v>
      </c>
      <c r="E526" t="s">
        <v>53</v>
      </c>
      <c r="F526" s="3">
        <v>941.43</v>
      </c>
      <c r="G526" t="s">
        <v>49</v>
      </c>
      <c r="H526" t="s">
        <v>69</v>
      </c>
      <c r="I526">
        <v>45</v>
      </c>
      <c r="J526" s="2">
        <v>46253</v>
      </c>
      <c r="K526" t="s">
        <v>50</v>
      </c>
      <c r="L526" s="2">
        <v>46256</v>
      </c>
      <c r="M526" s="3">
        <v>941.43</v>
      </c>
      <c r="N526" s="3">
        <v>0</v>
      </c>
      <c r="O526">
        <v>0</v>
      </c>
      <c r="P526" t="s">
        <v>588</v>
      </c>
    </row>
    <row r="527" spans="1:16">
      <c r="A527" s="2">
        <v>46208</v>
      </c>
      <c r="B527" t="s">
        <v>598</v>
      </c>
      <c r="C527" t="s">
        <v>61</v>
      </c>
      <c r="D527" t="s">
        <v>34</v>
      </c>
      <c r="E527" t="s">
        <v>53</v>
      </c>
      <c r="F527" s="3">
        <v>2175.62</v>
      </c>
      <c r="G527" t="s">
        <v>49</v>
      </c>
      <c r="H527" t="s">
        <v>58</v>
      </c>
      <c r="I527">
        <v>7</v>
      </c>
      <c r="J527" s="2">
        <v>46215</v>
      </c>
      <c r="K527" t="s">
        <v>38</v>
      </c>
      <c r="L527" s="2"/>
      <c r="M527" s="3">
        <v>0</v>
      </c>
      <c r="N527" s="3">
        <v>2175.62</v>
      </c>
      <c r="O527">
        <v>0</v>
      </c>
      <c r="P527" t="s">
        <v>588</v>
      </c>
    </row>
    <row r="528" spans="1:16">
      <c r="A528" s="2">
        <v>46209</v>
      </c>
      <c r="B528" t="s">
        <v>599</v>
      </c>
      <c r="C528" t="s">
        <v>80</v>
      </c>
      <c r="D528" t="s">
        <v>34</v>
      </c>
      <c r="E528" t="s">
        <v>43</v>
      </c>
      <c r="F528" s="3">
        <v>2553.19</v>
      </c>
      <c r="G528" t="s">
        <v>71</v>
      </c>
      <c r="H528" t="s">
        <v>66</v>
      </c>
      <c r="I528">
        <v>15</v>
      </c>
      <c r="J528" s="2">
        <v>46224</v>
      </c>
      <c r="K528" t="s">
        <v>50</v>
      </c>
      <c r="L528" s="2">
        <v>46224</v>
      </c>
      <c r="M528" s="3">
        <v>2553.19</v>
      </c>
      <c r="N528" s="3">
        <v>0</v>
      </c>
      <c r="O528">
        <v>0</v>
      </c>
      <c r="P528" t="s">
        <v>588</v>
      </c>
    </row>
    <row r="529" spans="1:16">
      <c r="A529" s="2">
        <v>46209</v>
      </c>
      <c r="B529" t="s">
        <v>600</v>
      </c>
      <c r="C529" t="s">
        <v>47</v>
      </c>
      <c r="D529" t="s">
        <v>52</v>
      </c>
      <c r="E529" t="s">
        <v>57</v>
      </c>
      <c r="F529" s="3">
        <v>3455.32</v>
      </c>
      <c r="G529" t="s">
        <v>44</v>
      </c>
      <c r="H529" t="s">
        <v>66</v>
      </c>
      <c r="I529">
        <v>45</v>
      </c>
      <c r="J529" s="2">
        <v>46254</v>
      </c>
      <c r="K529" t="s">
        <v>38</v>
      </c>
      <c r="L529" s="2"/>
      <c r="M529" s="3">
        <v>0</v>
      </c>
      <c r="N529" s="3">
        <v>3455.32</v>
      </c>
      <c r="O529">
        <v>0</v>
      </c>
      <c r="P529" t="s">
        <v>588</v>
      </c>
    </row>
    <row r="530" spans="1:16">
      <c r="A530" s="2">
        <v>46209</v>
      </c>
      <c r="B530" t="s">
        <v>601</v>
      </c>
      <c r="C530" t="s">
        <v>41</v>
      </c>
      <c r="D530" t="s">
        <v>42</v>
      </c>
      <c r="E530" t="s">
        <v>57</v>
      </c>
      <c r="F530" s="3">
        <v>1834.36</v>
      </c>
      <c r="G530" t="s">
        <v>71</v>
      </c>
      <c r="H530" t="s">
        <v>69</v>
      </c>
      <c r="I530">
        <v>30</v>
      </c>
      <c r="J530" s="2">
        <v>46239</v>
      </c>
      <c r="K530" t="s">
        <v>38</v>
      </c>
      <c r="L530" s="2"/>
      <c r="M530" s="3">
        <v>0</v>
      </c>
      <c r="N530" s="3">
        <v>1834.36</v>
      </c>
      <c r="O530">
        <v>0</v>
      </c>
      <c r="P530" t="s">
        <v>588</v>
      </c>
    </row>
    <row r="531" spans="1:16">
      <c r="A531" s="2">
        <v>46209</v>
      </c>
      <c r="B531" t="s">
        <v>602</v>
      </c>
      <c r="C531" t="s">
        <v>74</v>
      </c>
      <c r="D531" t="s">
        <v>34</v>
      </c>
      <c r="E531" t="s">
        <v>53</v>
      </c>
      <c r="F531" s="3">
        <v>788.61</v>
      </c>
      <c r="G531" t="s">
        <v>36</v>
      </c>
      <c r="H531" t="s">
        <v>37</v>
      </c>
      <c r="I531">
        <v>30</v>
      </c>
      <c r="J531" s="2">
        <v>46239</v>
      </c>
      <c r="K531" t="s">
        <v>50</v>
      </c>
      <c r="L531" s="2">
        <v>46243</v>
      </c>
      <c r="M531" s="3">
        <v>788.61</v>
      </c>
      <c r="N531" s="3">
        <v>0</v>
      </c>
      <c r="O531">
        <v>0</v>
      </c>
      <c r="P531" t="s">
        <v>588</v>
      </c>
    </row>
    <row r="532" spans="1:16">
      <c r="A532" s="2">
        <v>46209</v>
      </c>
      <c r="B532" t="s">
        <v>603</v>
      </c>
      <c r="C532" t="s">
        <v>41</v>
      </c>
      <c r="D532" t="s">
        <v>42</v>
      </c>
      <c r="E532" t="s">
        <v>57</v>
      </c>
      <c r="F532" s="3">
        <v>1046.74</v>
      </c>
      <c r="G532" t="s">
        <v>49</v>
      </c>
      <c r="H532" t="s">
        <v>58</v>
      </c>
      <c r="I532">
        <v>30</v>
      </c>
      <c r="J532" s="2">
        <v>46239</v>
      </c>
      <c r="K532" t="s">
        <v>38</v>
      </c>
      <c r="L532" s="2"/>
      <c r="M532" s="3">
        <v>0</v>
      </c>
      <c r="N532" s="3">
        <v>1046.74</v>
      </c>
      <c r="O532">
        <v>0</v>
      </c>
      <c r="P532" t="s">
        <v>588</v>
      </c>
    </row>
    <row r="533" spans="1:16">
      <c r="A533" s="2">
        <v>46210</v>
      </c>
      <c r="B533" t="s">
        <v>604</v>
      </c>
      <c r="C533" t="s">
        <v>56</v>
      </c>
      <c r="D533" t="s">
        <v>34</v>
      </c>
      <c r="E533" t="s">
        <v>53</v>
      </c>
      <c r="F533" s="3">
        <v>1021.96</v>
      </c>
      <c r="G533" t="s">
        <v>36</v>
      </c>
      <c r="H533" t="s">
        <v>66</v>
      </c>
      <c r="I533">
        <v>15</v>
      </c>
      <c r="J533" s="2">
        <v>46225</v>
      </c>
      <c r="K533" t="s">
        <v>38</v>
      </c>
      <c r="L533" s="2"/>
      <c r="M533" s="3">
        <v>0</v>
      </c>
      <c r="N533" s="3">
        <v>1021.96</v>
      </c>
      <c r="O533">
        <v>0</v>
      </c>
      <c r="P533" t="s">
        <v>588</v>
      </c>
    </row>
    <row r="534" spans="1:16">
      <c r="A534" s="2">
        <v>46210</v>
      </c>
      <c r="B534" t="s">
        <v>605</v>
      </c>
      <c r="C534" t="s">
        <v>90</v>
      </c>
      <c r="D534" t="s">
        <v>42</v>
      </c>
      <c r="E534" t="s">
        <v>57</v>
      </c>
      <c r="F534" s="3">
        <v>2330.66</v>
      </c>
      <c r="G534" t="s">
        <v>36</v>
      </c>
      <c r="H534" t="s">
        <v>69</v>
      </c>
      <c r="I534">
        <v>30</v>
      </c>
      <c r="J534" s="2">
        <v>46240</v>
      </c>
      <c r="K534" t="s">
        <v>50</v>
      </c>
      <c r="L534" s="2">
        <v>46242</v>
      </c>
      <c r="M534" s="3">
        <v>2330.66</v>
      </c>
      <c r="N534" s="3">
        <v>0</v>
      </c>
      <c r="O534">
        <v>0</v>
      </c>
      <c r="P534" t="s">
        <v>588</v>
      </c>
    </row>
    <row r="535" spans="1:16">
      <c r="A535" s="2">
        <v>46210</v>
      </c>
      <c r="B535" t="s">
        <v>606</v>
      </c>
      <c r="C535" t="s">
        <v>41</v>
      </c>
      <c r="D535" t="s">
        <v>52</v>
      </c>
      <c r="E535" t="s">
        <v>43</v>
      </c>
      <c r="F535" s="3">
        <v>1800.34</v>
      </c>
      <c r="G535" t="s">
        <v>44</v>
      </c>
      <c r="H535" t="s">
        <v>69</v>
      </c>
      <c r="I535">
        <v>45</v>
      </c>
      <c r="J535" s="2">
        <v>46255</v>
      </c>
      <c r="K535" t="s">
        <v>38</v>
      </c>
      <c r="L535" s="2"/>
      <c r="M535" s="3">
        <v>0</v>
      </c>
      <c r="N535" s="3">
        <v>1800.34</v>
      </c>
      <c r="O535">
        <v>0</v>
      </c>
      <c r="P535" t="s">
        <v>588</v>
      </c>
    </row>
    <row r="536" spans="1:16">
      <c r="A536" s="2">
        <v>46210</v>
      </c>
      <c r="B536" t="s">
        <v>607</v>
      </c>
      <c r="C536" t="s">
        <v>68</v>
      </c>
      <c r="D536" t="s">
        <v>34</v>
      </c>
      <c r="E536" t="s">
        <v>35</v>
      </c>
      <c r="F536" s="3">
        <v>1672.47</v>
      </c>
      <c r="G536" t="s">
        <v>36</v>
      </c>
      <c r="H536" t="s">
        <v>58</v>
      </c>
      <c r="I536">
        <v>7</v>
      </c>
      <c r="J536" s="2">
        <v>46217</v>
      </c>
      <c r="K536" t="s">
        <v>50</v>
      </c>
      <c r="L536" s="2">
        <v>46228</v>
      </c>
      <c r="M536" s="3">
        <v>1672.47</v>
      </c>
      <c r="N536" s="3">
        <v>0</v>
      </c>
      <c r="O536">
        <v>0</v>
      </c>
      <c r="P536" t="s">
        <v>588</v>
      </c>
    </row>
    <row r="537" spans="1:16">
      <c r="A537" s="2">
        <v>46210</v>
      </c>
      <c r="B537" t="s">
        <v>608</v>
      </c>
      <c r="C537" t="s">
        <v>68</v>
      </c>
      <c r="D537" t="s">
        <v>34</v>
      </c>
      <c r="E537" t="s">
        <v>57</v>
      </c>
      <c r="F537" s="3">
        <v>1195.7</v>
      </c>
      <c r="G537" t="s">
        <v>71</v>
      </c>
      <c r="H537" t="s">
        <v>58</v>
      </c>
      <c r="I537">
        <v>30</v>
      </c>
      <c r="J537" s="2">
        <v>46240</v>
      </c>
      <c r="K537" t="s">
        <v>50</v>
      </c>
      <c r="L537" s="2">
        <v>46242</v>
      </c>
      <c r="M537" s="3">
        <v>1195.7</v>
      </c>
      <c r="N537" s="3">
        <v>0</v>
      </c>
      <c r="O537">
        <v>0</v>
      </c>
      <c r="P537" t="s">
        <v>588</v>
      </c>
    </row>
    <row r="538" spans="1:16">
      <c r="A538" s="2">
        <v>46210</v>
      </c>
      <c r="B538" t="s">
        <v>609</v>
      </c>
      <c r="C538" t="s">
        <v>64</v>
      </c>
      <c r="D538" t="s">
        <v>52</v>
      </c>
      <c r="E538" t="s">
        <v>57</v>
      </c>
      <c r="F538" s="3">
        <v>3991.27</v>
      </c>
      <c r="G538" t="s">
        <v>49</v>
      </c>
      <c r="H538" t="s">
        <v>66</v>
      </c>
      <c r="I538">
        <v>30</v>
      </c>
      <c r="J538" s="2">
        <v>46240</v>
      </c>
      <c r="K538" t="s">
        <v>38</v>
      </c>
      <c r="L538" s="2"/>
      <c r="M538" s="3">
        <v>0</v>
      </c>
      <c r="N538" s="3">
        <v>3991.27</v>
      </c>
      <c r="O538">
        <v>0</v>
      </c>
      <c r="P538" t="s">
        <v>588</v>
      </c>
    </row>
    <row r="539" spans="1:16">
      <c r="A539" s="2">
        <v>46211</v>
      </c>
      <c r="B539" t="s">
        <v>610</v>
      </c>
      <c r="C539" t="s">
        <v>33</v>
      </c>
      <c r="D539" t="s">
        <v>65</v>
      </c>
      <c r="E539" t="s">
        <v>43</v>
      </c>
      <c r="F539" s="3">
        <v>1836.98</v>
      </c>
      <c r="G539" t="s">
        <v>44</v>
      </c>
      <c r="H539" t="s">
        <v>66</v>
      </c>
      <c r="I539">
        <v>15</v>
      </c>
      <c r="J539" s="2">
        <v>46226</v>
      </c>
      <c r="K539" t="s">
        <v>50</v>
      </c>
      <c r="L539" s="2">
        <v>46233</v>
      </c>
      <c r="M539" s="3">
        <v>1836.98</v>
      </c>
      <c r="N539" s="3">
        <v>0</v>
      </c>
      <c r="O539">
        <v>0</v>
      </c>
      <c r="P539" t="s">
        <v>588</v>
      </c>
    </row>
    <row r="540" spans="1:16">
      <c r="A540" s="2">
        <v>46211</v>
      </c>
      <c r="B540" t="s">
        <v>611</v>
      </c>
      <c r="C540" t="s">
        <v>90</v>
      </c>
      <c r="D540" t="s">
        <v>52</v>
      </c>
      <c r="E540" t="s">
        <v>57</v>
      </c>
      <c r="F540" s="3">
        <v>714.37</v>
      </c>
      <c r="G540" t="s">
        <v>44</v>
      </c>
      <c r="H540" t="s">
        <v>69</v>
      </c>
      <c r="I540">
        <v>7</v>
      </c>
      <c r="J540" s="2">
        <v>46218</v>
      </c>
      <c r="K540" t="s">
        <v>50</v>
      </c>
      <c r="L540" s="2">
        <v>46228</v>
      </c>
      <c r="M540" s="3">
        <v>714.37</v>
      </c>
      <c r="N540" s="3">
        <v>0</v>
      </c>
      <c r="O540">
        <v>0</v>
      </c>
      <c r="P540" t="s">
        <v>588</v>
      </c>
    </row>
    <row r="541" spans="1:16">
      <c r="A541" s="2">
        <v>46211</v>
      </c>
      <c r="B541" t="s">
        <v>612</v>
      </c>
      <c r="C541" t="s">
        <v>82</v>
      </c>
      <c r="D541" t="s">
        <v>42</v>
      </c>
      <c r="E541" t="s">
        <v>57</v>
      </c>
      <c r="F541" s="3">
        <v>2175.52</v>
      </c>
      <c r="G541" t="s">
        <v>71</v>
      </c>
      <c r="H541" t="s">
        <v>66</v>
      </c>
      <c r="I541">
        <v>30</v>
      </c>
      <c r="J541" s="2">
        <v>46241</v>
      </c>
      <c r="K541" t="s">
        <v>50</v>
      </c>
      <c r="L541" s="2">
        <v>46251</v>
      </c>
      <c r="M541" s="3">
        <v>2175.52</v>
      </c>
      <c r="N541" s="3">
        <v>0</v>
      </c>
      <c r="O541">
        <v>0</v>
      </c>
      <c r="P541" t="s">
        <v>588</v>
      </c>
    </row>
    <row r="542" spans="1:16">
      <c r="A542" s="2">
        <v>46211</v>
      </c>
      <c r="B542" t="s">
        <v>613</v>
      </c>
      <c r="C542" t="s">
        <v>56</v>
      </c>
      <c r="D542" t="s">
        <v>52</v>
      </c>
      <c r="E542" t="s">
        <v>35</v>
      </c>
      <c r="F542" s="3">
        <v>963.63</v>
      </c>
      <c r="G542" t="s">
        <v>36</v>
      </c>
      <c r="H542" t="s">
        <v>58</v>
      </c>
      <c r="I542">
        <v>30</v>
      </c>
      <c r="J542" s="2">
        <v>46241</v>
      </c>
      <c r="K542" t="s">
        <v>50</v>
      </c>
      <c r="L542" s="2">
        <v>46246</v>
      </c>
      <c r="M542" s="3">
        <v>963.63</v>
      </c>
      <c r="N542" s="3">
        <v>0</v>
      </c>
      <c r="O542">
        <v>0</v>
      </c>
      <c r="P542" t="s">
        <v>588</v>
      </c>
    </row>
    <row r="543" spans="1:16">
      <c r="A543" s="2">
        <v>46212</v>
      </c>
      <c r="B543" t="s">
        <v>614</v>
      </c>
      <c r="C543" t="s">
        <v>82</v>
      </c>
      <c r="D543" t="s">
        <v>34</v>
      </c>
      <c r="E543" t="s">
        <v>53</v>
      </c>
      <c r="F543" s="3">
        <v>1669.47</v>
      </c>
      <c r="G543" t="s">
        <v>71</v>
      </c>
      <c r="H543" t="s">
        <v>45</v>
      </c>
      <c r="I543">
        <v>45</v>
      </c>
      <c r="J543" s="2">
        <v>46257</v>
      </c>
      <c r="K543" t="s">
        <v>50</v>
      </c>
      <c r="L543" s="2">
        <v>46258</v>
      </c>
      <c r="M543" s="3">
        <v>1669.47</v>
      </c>
      <c r="N543" s="3">
        <v>0</v>
      </c>
      <c r="O543">
        <v>0</v>
      </c>
      <c r="P543" t="s">
        <v>588</v>
      </c>
    </row>
    <row r="544" spans="1:16">
      <c r="A544" s="2">
        <v>46212</v>
      </c>
      <c r="B544" t="s">
        <v>615</v>
      </c>
      <c r="C544" t="s">
        <v>84</v>
      </c>
      <c r="D544" t="s">
        <v>42</v>
      </c>
      <c r="E544" t="s">
        <v>43</v>
      </c>
      <c r="F544" s="3">
        <v>3038.55</v>
      </c>
      <c r="G544" t="s">
        <v>49</v>
      </c>
      <c r="H544" t="s">
        <v>37</v>
      </c>
      <c r="I544">
        <v>15</v>
      </c>
      <c r="J544" s="2">
        <v>46227</v>
      </c>
      <c r="K544" t="s">
        <v>50</v>
      </c>
      <c r="L544" s="2">
        <v>46236</v>
      </c>
      <c r="M544" s="3">
        <v>3038.55</v>
      </c>
      <c r="N544" s="3">
        <v>0</v>
      </c>
      <c r="O544">
        <v>0</v>
      </c>
      <c r="P544" t="s">
        <v>588</v>
      </c>
    </row>
    <row r="545" spans="1:16">
      <c r="A545" s="2">
        <v>46212</v>
      </c>
      <c r="B545" t="s">
        <v>616</v>
      </c>
      <c r="C545" t="s">
        <v>61</v>
      </c>
      <c r="D545" t="s">
        <v>42</v>
      </c>
      <c r="E545" t="s">
        <v>57</v>
      </c>
      <c r="F545" s="3">
        <v>766.8</v>
      </c>
      <c r="G545" t="s">
        <v>36</v>
      </c>
      <c r="H545" t="s">
        <v>66</v>
      </c>
      <c r="I545">
        <v>30</v>
      </c>
      <c r="J545" s="2">
        <v>46242</v>
      </c>
      <c r="K545" t="s">
        <v>72</v>
      </c>
      <c r="L545" s="2"/>
      <c r="M545" s="3">
        <v>0</v>
      </c>
      <c r="N545" s="3">
        <v>766.8</v>
      </c>
      <c r="O545">
        <v>16</v>
      </c>
      <c r="P545" t="s">
        <v>588</v>
      </c>
    </row>
    <row r="546" spans="1:16">
      <c r="A546" s="2">
        <v>46212</v>
      </c>
      <c r="B546" t="s">
        <v>617</v>
      </c>
      <c r="C546" t="s">
        <v>68</v>
      </c>
      <c r="D546" t="s">
        <v>34</v>
      </c>
      <c r="E546" t="s">
        <v>43</v>
      </c>
      <c r="F546" s="3">
        <v>2277.8000000000002</v>
      </c>
      <c r="G546" t="s">
        <v>49</v>
      </c>
      <c r="H546" t="s">
        <v>66</v>
      </c>
      <c r="I546">
        <v>15</v>
      </c>
      <c r="J546" s="2">
        <v>46227</v>
      </c>
      <c r="K546" t="s">
        <v>50</v>
      </c>
      <c r="L546" s="2">
        <v>46236</v>
      </c>
      <c r="M546" s="3">
        <v>2277.8000000000002</v>
      </c>
      <c r="N546" s="3">
        <v>0</v>
      </c>
      <c r="O546">
        <v>0</v>
      </c>
      <c r="P546" t="s">
        <v>588</v>
      </c>
    </row>
    <row r="547" spans="1:16">
      <c r="A547" s="2">
        <v>46212</v>
      </c>
      <c r="B547" t="s">
        <v>618</v>
      </c>
      <c r="C547" t="s">
        <v>84</v>
      </c>
      <c r="D547" t="s">
        <v>52</v>
      </c>
      <c r="E547" t="s">
        <v>43</v>
      </c>
      <c r="F547" s="3">
        <v>950.76</v>
      </c>
      <c r="G547" t="s">
        <v>36</v>
      </c>
      <c r="H547" t="s">
        <v>37</v>
      </c>
      <c r="I547">
        <v>30</v>
      </c>
      <c r="J547" s="2">
        <v>46242</v>
      </c>
      <c r="K547" t="s">
        <v>38</v>
      </c>
      <c r="L547" s="2"/>
      <c r="M547" s="3">
        <v>0</v>
      </c>
      <c r="N547" s="3">
        <v>950.76</v>
      </c>
      <c r="O547">
        <v>0</v>
      </c>
      <c r="P547" t="s">
        <v>588</v>
      </c>
    </row>
    <row r="548" spans="1:16">
      <c r="A548" s="2">
        <v>46212</v>
      </c>
      <c r="B548" t="s">
        <v>619</v>
      </c>
      <c r="C548" t="s">
        <v>84</v>
      </c>
      <c r="D548" t="s">
        <v>42</v>
      </c>
      <c r="E548" t="s">
        <v>35</v>
      </c>
      <c r="F548" s="3">
        <v>816.52</v>
      </c>
      <c r="G548" t="s">
        <v>44</v>
      </c>
      <c r="H548" t="s">
        <v>66</v>
      </c>
      <c r="I548">
        <v>45</v>
      </c>
      <c r="J548" s="2">
        <v>46257</v>
      </c>
      <c r="K548" t="s">
        <v>50</v>
      </c>
      <c r="L548" s="2">
        <v>46266</v>
      </c>
      <c r="M548" s="3">
        <v>816.52</v>
      </c>
      <c r="N548" s="3">
        <v>0</v>
      </c>
      <c r="O548">
        <v>0</v>
      </c>
      <c r="P548" t="s">
        <v>588</v>
      </c>
    </row>
    <row r="549" spans="1:16">
      <c r="A549" s="2">
        <v>46212</v>
      </c>
      <c r="B549" t="s">
        <v>620</v>
      </c>
      <c r="C549" t="s">
        <v>56</v>
      </c>
      <c r="D549" t="s">
        <v>65</v>
      </c>
      <c r="E549" t="s">
        <v>35</v>
      </c>
      <c r="F549" s="3">
        <v>319.7</v>
      </c>
      <c r="G549" t="s">
        <v>44</v>
      </c>
      <c r="H549" t="s">
        <v>69</v>
      </c>
      <c r="I549">
        <v>30</v>
      </c>
      <c r="J549" s="2">
        <v>46242</v>
      </c>
      <c r="K549" t="s">
        <v>50</v>
      </c>
      <c r="L549" s="2">
        <v>46251</v>
      </c>
      <c r="M549" s="3">
        <v>319.7</v>
      </c>
      <c r="N549" s="3">
        <v>0</v>
      </c>
      <c r="O549">
        <v>0</v>
      </c>
      <c r="P549" t="s">
        <v>588</v>
      </c>
    </row>
    <row r="550" spans="1:16">
      <c r="A550" s="2">
        <v>46212</v>
      </c>
      <c r="B550" t="s">
        <v>621</v>
      </c>
      <c r="C550" t="s">
        <v>56</v>
      </c>
      <c r="D550" t="s">
        <v>42</v>
      </c>
      <c r="E550" t="s">
        <v>48</v>
      </c>
      <c r="F550" s="3">
        <v>1285.45</v>
      </c>
      <c r="G550" t="s">
        <v>71</v>
      </c>
      <c r="H550" t="s">
        <v>66</v>
      </c>
      <c r="I550">
        <v>15</v>
      </c>
      <c r="J550" s="2">
        <v>46227</v>
      </c>
      <c r="K550" t="s">
        <v>50</v>
      </c>
      <c r="L550" s="2">
        <v>46227</v>
      </c>
      <c r="M550" s="3">
        <v>1285.45</v>
      </c>
      <c r="N550" s="3">
        <v>0</v>
      </c>
      <c r="O550">
        <v>0</v>
      </c>
      <c r="P550" t="s">
        <v>588</v>
      </c>
    </row>
    <row r="551" spans="1:16">
      <c r="A551" s="2">
        <v>46212</v>
      </c>
      <c r="B551" t="s">
        <v>622</v>
      </c>
      <c r="C551" t="s">
        <v>61</v>
      </c>
      <c r="D551" t="s">
        <v>42</v>
      </c>
      <c r="E551" t="s">
        <v>57</v>
      </c>
      <c r="F551" s="3">
        <v>2990.55</v>
      </c>
      <c r="G551" t="s">
        <v>49</v>
      </c>
      <c r="H551" t="s">
        <v>45</v>
      </c>
      <c r="I551">
        <v>15</v>
      </c>
      <c r="J551" s="2">
        <v>46227</v>
      </c>
      <c r="K551" t="s">
        <v>38</v>
      </c>
      <c r="L551" s="2"/>
      <c r="M551" s="3">
        <v>0</v>
      </c>
      <c r="N551" s="3">
        <v>2990.55</v>
      </c>
      <c r="O551">
        <v>0</v>
      </c>
      <c r="P551" t="s">
        <v>588</v>
      </c>
    </row>
    <row r="552" spans="1:16">
      <c r="A552" s="2">
        <v>46212</v>
      </c>
      <c r="B552" t="s">
        <v>623</v>
      </c>
      <c r="C552" t="s">
        <v>74</v>
      </c>
      <c r="D552" t="s">
        <v>52</v>
      </c>
      <c r="E552" t="s">
        <v>57</v>
      </c>
      <c r="F552" s="3">
        <v>919.29</v>
      </c>
      <c r="G552" t="s">
        <v>49</v>
      </c>
      <c r="H552" t="s">
        <v>62</v>
      </c>
      <c r="I552">
        <v>30</v>
      </c>
      <c r="J552" s="2">
        <v>46242</v>
      </c>
      <c r="K552" t="s">
        <v>50</v>
      </c>
      <c r="L552" s="2">
        <v>46249</v>
      </c>
      <c r="M552" s="3">
        <v>919.29</v>
      </c>
      <c r="N552" s="3">
        <v>0</v>
      </c>
      <c r="O552">
        <v>0</v>
      </c>
      <c r="P552" t="s">
        <v>588</v>
      </c>
    </row>
    <row r="553" spans="1:16">
      <c r="A553" s="2">
        <v>46213</v>
      </c>
      <c r="B553" t="s">
        <v>624</v>
      </c>
      <c r="C553" t="s">
        <v>84</v>
      </c>
      <c r="D553" t="s">
        <v>65</v>
      </c>
      <c r="E553" t="s">
        <v>53</v>
      </c>
      <c r="F553" s="3">
        <v>2325.52</v>
      </c>
      <c r="G553" t="s">
        <v>71</v>
      </c>
      <c r="H553" t="s">
        <v>58</v>
      </c>
      <c r="I553">
        <v>30</v>
      </c>
      <c r="J553" s="2">
        <v>46243</v>
      </c>
      <c r="K553" t="s">
        <v>50</v>
      </c>
      <c r="L553" s="2">
        <v>46254</v>
      </c>
      <c r="M553" s="3">
        <v>2325.52</v>
      </c>
      <c r="N553" s="3">
        <v>0</v>
      </c>
      <c r="O553">
        <v>0</v>
      </c>
      <c r="P553" t="s">
        <v>588</v>
      </c>
    </row>
    <row r="554" spans="1:16">
      <c r="A554" s="2">
        <v>46213</v>
      </c>
      <c r="B554" t="s">
        <v>625</v>
      </c>
      <c r="C554" t="s">
        <v>47</v>
      </c>
      <c r="D554" t="s">
        <v>42</v>
      </c>
      <c r="E554" t="s">
        <v>48</v>
      </c>
      <c r="F554" s="3">
        <v>2071.8000000000002</v>
      </c>
      <c r="G554" t="s">
        <v>44</v>
      </c>
      <c r="H554" t="s">
        <v>66</v>
      </c>
      <c r="I554">
        <v>30</v>
      </c>
      <c r="J554" s="2">
        <v>46243</v>
      </c>
      <c r="K554" t="s">
        <v>50</v>
      </c>
      <c r="L554" s="2">
        <v>46247</v>
      </c>
      <c r="M554" s="3">
        <v>2071.8000000000002</v>
      </c>
      <c r="N554" s="3">
        <v>0</v>
      </c>
      <c r="O554">
        <v>0</v>
      </c>
      <c r="P554" t="s">
        <v>588</v>
      </c>
    </row>
    <row r="555" spans="1:16">
      <c r="A555" s="2">
        <v>46213</v>
      </c>
      <c r="B555" t="s">
        <v>626</v>
      </c>
      <c r="C555" t="s">
        <v>80</v>
      </c>
      <c r="D555" t="s">
        <v>65</v>
      </c>
      <c r="E555" t="s">
        <v>48</v>
      </c>
      <c r="F555" s="3">
        <v>1919.13</v>
      </c>
      <c r="G555" t="s">
        <v>49</v>
      </c>
      <c r="H555" t="s">
        <v>37</v>
      </c>
      <c r="I555">
        <v>30</v>
      </c>
      <c r="J555" s="2">
        <v>46243</v>
      </c>
      <c r="K555" t="s">
        <v>38</v>
      </c>
      <c r="L555" s="2"/>
      <c r="M555" s="3">
        <v>0</v>
      </c>
      <c r="N555" s="3">
        <v>1919.13</v>
      </c>
      <c r="O555">
        <v>0</v>
      </c>
      <c r="P555" t="s">
        <v>588</v>
      </c>
    </row>
    <row r="556" spans="1:16">
      <c r="A556" s="2">
        <v>46213</v>
      </c>
      <c r="B556" t="s">
        <v>627</v>
      </c>
      <c r="C556" t="s">
        <v>90</v>
      </c>
      <c r="D556" t="s">
        <v>42</v>
      </c>
      <c r="E556" t="s">
        <v>57</v>
      </c>
      <c r="F556" s="3">
        <v>2646.95</v>
      </c>
      <c r="G556" t="s">
        <v>71</v>
      </c>
      <c r="H556" t="s">
        <v>37</v>
      </c>
      <c r="I556">
        <v>30</v>
      </c>
      <c r="J556" s="2">
        <v>46243</v>
      </c>
      <c r="K556" t="s">
        <v>38</v>
      </c>
      <c r="L556" s="2"/>
      <c r="M556" s="3">
        <v>0</v>
      </c>
      <c r="N556" s="3">
        <v>2646.95</v>
      </c>
      <c r="O556">
        <v>0</v>
      </c>
      <c r="P556" t="s">
        <v>588</v>
      </c>
    </row>
    <row r="557" spans="1:16">
      <c r="A557" s="2">
        <v>46214</v>
      </c>
      <c r="B557" t="s">
        <v>628</v>
      </c>
      <c r="C557" t="s">
        <v>47</v>
      </c>
      <c r="D557" t="s">
        <v>65</v>
      </c>
      <c r="E557" t="s">
        <v>48</v>
      </c>
      <c r="F557" s="3">
        <v>3564.51</v>
      </c>
      <c r="G557" t="s">
        <v>71</v>
      </c>
      <c r="H557" t="s">
        <v>37</v>
      </c>
      <c r="I557">
        <v>30</v>
      </c>
      <c r="J557" s="2">
        <v>46244</v>
      </c>
      <c r="K557" t="s">
        <v>50</v>
      </c>
      <c r="L557" s="2">
        <v>46246</v>
      </c>
      <c r="M557" s="3">
        <v>3564.51</v>
      </c>
      <c r="N557" s="3">
        <v>0</v>
      </c>
      <c r="O557">
        <v>0</v>
      </c>
      <c r="P557" t="s">
        <v>588</v>
      </c>
    </row>
    <row r="558" spans="1:16">
      <c r="A558" s="2">
        <v>46214</v>
      </c>
      <c r="B558" t="s">
        <v>629</v>
      </c>
      <c r="C558" t="s">
        <v>41</v>
      </c>
      <c r="D558" t="s">
        <v>52</v>
      </c>
      <c r="E558" t="s">
        <v>53</v>
      </c>
      <c r="F558" s="3">
        <v>1518.85</v>
      </c>
      <c r="G558" t="s">
        <v>36</v>
      </c>
      <c r="H558" t="s">
        <v>58</v>
      </c>
      <c r="I558">
        <v>30</v>
      </c>
      <c r="J558" s="2">
        <v>46244</v>
      </c>
      <c r="K558" t="s">
        <v>50</v>
      </c>
      <c r="L558" s="2">
        <v>46252</v>
      </c>
      <c r="M558" s="3">
        <v>1518.85</v>
      </c>
      <c r="N558" s="3">
        <v>0</v>
      </c>
      <c r="O558">
        <v>0</v>
      </c>
      <c r="P558" t="s">
        <v>588</v>
      </c>
    </row>
    <row r="559" spans="1:16">
      <c r="A559" s="2">
        <v>46214</v>
      </c>
      <c r="B559" t="s">
        <v>630</v>
      </c>
      <c r="C559" t="s">
        <v>64</v>
      </c>
      <c r="D559" t="s">
        <v>34</v>
      </c>
      <c r="E559" t="s">
        <v>57</v>
      </c>
      <c r="F559" s="3">
        <v>2258.0100000000002</v>
      </c>
      <c r="G559" t="s">
        <v>49</v>
      </c>
      <c r="H559" t="s">
        <v>45</v>
      </c>
      <c r="I559">
        <v>30</v>
      </c>
      <c r="J559" s="2">
        <v>46244</v>
      </c>
      <c r="K559" t="s">
        <v>50</v>
      </c>
      <c r="L559" s="2">
        <v>46253</v>
      </c>
      <c r="M559" s="3">
        <v>2258.0100000000002</v>
      </c>
      <c r="N559" s="3">
        <v>0</v>
      </c>
      <c r="O559">
        <v>0</v>
      </c>
      <c r="P559" t="s">
        <v>588</v>
      </c>
    </row>
    <row r="560" spans="1:16">
      <c r="A560" s="2">
        <v>46214</v>
      </c>
      <c r="B560" t="s">
        <v>631</v>
      </c>
      <c r="C560" t="s">
        <v>41</v>
      </c>
      <c r="D560" t="s">
        <v>34</v>
      </c>
      <c r="E560" t="s">
        <v>57</v>
      </c>
      <c r="F560" s="3">
        <v>1680.69</v>
      </c>
      <c r="G560" t="s">
        <v>49</v>
      </c>
      <c r="H560" t="s">
        <v>37</v>
      </c>
      <c r="I560">
        <v>30</v>
      </c>
      <c r="J560" s="2">
        <v>46244</v>
      </c>
      <c r="K560" t="s">
        <v>50</v>
      </c>
      <c r="L560" s="2">
        <v>46244</v>
      </c>
      <c r="M560" s="3">
        <v>1680.69</v>
      </c>
      <c r="N560" s="3">
        <v>0</v>
      </c>
      <c r="O560">
        <v>0</v>
      </c>
      <c r="P560" t="s">
        <v>588</v>
      </c>
    </row>
    <row r="561" spans="1:16">
      <c r="A561" s="2">
        <v>46215</v>
      </c>
      <c r="B561" t="s">
        <v>632</v>
      </c>
      <c r="C561" t="s">
        <v>41</v>
      </c>
      <c r="D561" t="s">
        <v>65</v>
      </c>
      <c r="E561" t="s">
        <v>53</v>
      </c>
      <c r="F561" s="3">
        <v>1838.64</v>
      </c>
      <c r="G561" t="s">
        <v>71</v>
      </c>
      <c r="H561" t="s">
        <v>45</v>
      </c>
      <c r="I561">
        <v>15</v>
      </c>
      <c r="J561" s="2">
        <v>46230</v>
      </c>
      <c r="K561" t="s">
        <v>50</v>
      </c>
      <c r="L561" s="2">
        <v>46239</v>
      </c>
      <c r="M561" s="3">
        <v>1838.64</v>
      </c>
      <c r="N561" s="3">
        <v>0</v>
      </c>
      <c r="O561">
        <v>0</v>
      </c>
      <c r="P561" t="s">
        <v>588</v>
      </c>
    </row>
    <row r="562" spans="1:16">
      <c r="A562" s="2">
        <v>46216</v>
      </c>
      <c r="B562" t="s">
        <v>633</v>
      </c>
      <c r="C562" t="s">
        <v>64</v>
      </c>
      <c r="D562" t="s">
        <v>42</v>
      </c>
      <c r="E562" t="s">
        <v>53</v>
      </c>
      <c r="F562" s="3">
        <v>1211.48</v>
      </c>
      <c r="G562" t="s">
        <v>44</v>
      </c>
      <c r="H562" t="s">
        <v>37</v>
      </c>
      <c r="I562">
        <v>30</v>
      </c>
      <c r="J562" s="2">
        <v>46246</v>
      </c>
      <c r="K562" t="s">
        <v>50</v>
      </c>
      <c r="L562" s="2">
        <v>46249</v>
      </c>
      <c r="M562" s="3">
        <v>1211.48</v>
      </c>
      <c r="N562" s="3">
        <v>0</v>
      </c>
      <c r="O562">
        <v>0</v>
      </c>
      <c r="P562" t="s">
        <v>588</v>
      </c>
    </row>
    <row r="563" spans="1:16">
      <c r="A563" s="2">
        <v>46216</v>
      </c>
      <c r="B563" t="s">
        <v>634</v>
      </c>
      <c r="C563" t="s">
        <v>33</v>
      </c>
      <c r="D563" t="s">
        <v>52</v>
      </c>
      <c r="E563" t="s">
        <v>53</v>
      </c>
      <c r="F563" s="3">
        <v>1632.77</v>
      </c>
      <c r="G563" t="s">
        <v>44</v>
      </c>
      <c r="H563" t="s">
        <v>45</v>
      </c>
      <c r="I563">
        <v>15</v>
      </c>
      <c r="J563" s="2">
        <v>46231</v>
      </c>
      <c r="K563" t="s">
        <v>50</v>
      </c>
      <c r="L563" s="2">
        <v>46237</v>
      </c>
      <c r="M563" s="3">
        <v>1632.77</v>
      </c>
      <c r="N563" s="3">
        <v>0</v>
      </c>
      <c r="O563">
        <v>0</v>
      </c>
      <c r="P563" t="s">
        <v>588</v>
      </c>
    </row>
    <row r="564" spans="1:16">
      <c r="A564" s="2">
        <v>46217</v>
      </c>
      <c r="B564" t="s">
        <v>635</v>
      </c>
      <c r="C564" t="s">
        <v>64</v>
      </c>
      <c r="D564" t="s">
        <v>65</v>
      </c>
      <c r="E564" t="s">
        <v>57</v>
      </c>
      <c r="F564" s="3">
        <v>721.47</v>
      </c>
      <c r="G564" t="s">
        <v>44</v>
      </c>
      <c r="H564" t="s">
        <v>37</v>
      </c>
      <c r="I564">
        <v>45</v>
      </c>
      <c r="J564" s="2">
        <v>46262</v>
      </c>
      <c r="K564" t="s">
        <v>50</v>
      </c>
      <c r="L564" s="2">
        <v>46267</v>
      </c>
      <c r="M564" s="3">
        <v>721.47</v>
      </c>
      <c r="N564" s="3">
        <v>0</v>
      </c>
      <c r="O564">
        <v>0</v>
      </c>
      <c r="P564" t="s">
        <v>588</v>
      </c>
    </row>
    <row r="565" spans="1:16">
      <c r="A565" s="2">
        <v>46217</v>
      </c>
      <c r="B565" t="s">
        <v>636</v>
      </c>
      <c r="C565" t="s">
        <v>84</v>
      </c>
      <c r="D565" t="s">
        <v>42</v>
      </c>
      <c r="E565" t="s">
        <v>43</v>
      </c>
      <c r="F565" s="3">
        <v>2524.46</v>
      </c>
      <c r="G565" t="s">
        <v>44</v>
      </c>
      <c r="H565" t="s">
        <v>58</v>
      </c>
      <c r="I565">
        <v>30</v>
      </c>
      <c r="J565" s="2">
        <v>46247</v>
      </c>
      <c r="K565" t="s">
        <v>50</v>
      </c>
      <c r="L565" s="2">
        <v>46251</v>
      </c>
      <c r="M565" s="3">
        <v>2524.46</v>
      </c>
      <c r="N565" s="3">
        <v>0</v>
      </c>
      <c r="O565">
        <v>0</v>
      </c>
      <c r="P565" t="s">
        <v>588</v>
      </c>
    </row>
    <row r="566" spans="1:16">
      <c r="A566" s="2">
        <v>46217</v>
      </c>
      <c r="B566" t="s">
        <v>637</v>
      </c>
      <c r="C566" t="s">
        <v>80</v>
      </c>
      <c r="D566" t="s">
        <v>34</v>
      </c>
      <c r="E566" t="s">
        <v>53</v>
      </c>
      <c r="F566" s="3">
        <v>559.54</v>
      </c>
      <c r="G566" t="s">
        <v>44</v>
      </c>
      <c r="H566" t="s">
        <v>66</v>
      </c>
      <c r="I566">
        <v>30</v>
      </c>
      <c r="J566" s="2">
        <v>46247</v>
      </c>
      <c r="K566" t="s">
        <v>50</v>
      </c>
      <c r="L566" s="2">
        <v>46256</v>
      </c>
      <c r="M566" s="3">
        <v>559.54</v>
      </c>
      <c r="N566" s="3">
        <v>0</v>
      </c>
      <c r="O566">
        <v>0</v>
      </c>
      <c r="P566" t="s">
        <v>588</v>
      </c>
    </row>
    <row r="567" spans="1:16">
      <c r="A567" s="2">
        <v>46218</v>
      </c>
      <c r="B567" t="s">
        <v>638</v>
      </c>
      <c r="C567" t="s">
        <v>64</v>
      </c>
      <c r="D567" t="s">
        <v>52</v>
      </c>
      <c r="E567" t="s">
        <v>43</v>
      </c>
      <c r="F567" s="3">
        <v>1406.96</v>
      </c>
      <c r="G567" t="s">
        <v>71</v>
      </c>
      <c r="H567" t="s">
        <v>45</v>
      </c>
      <c r="I567">
        <v>7</v>
      </c>
      <c r="J567" s="2">
        <v>46225</v>
      </c>
      <c r="K567" t="s">
        <v>50</v>
      </c>
      <c r="L567" s="2">
        <v>46230</v>
      </c>
      <c r="M567" s="3">
        <v>1406.96</v>
      </c>
      <c r="N567" s="3">
        <v>0</v>
      </c>
      <c r="O567">
        <v>0</v>
      </c>
      <c r="P567" t="s">
        <v>588</v>
      </c>
    </row>
    <row r="568" spans="1:16">
      <c r="A568" s="2">
        <v>46219</v>
      </c>
      <c r="B568" t="s">
        <v>639</v>
      </c>
      <c r="C568" t="s">
        <v>80</v>
      </c>
      <c r="D568" t="s">
        <v>42</v>
      </c>
      <c r="E568" t="s">
        <v>43</v>
      </c>
      <c r="F568" s="3">
        <v>1767.32</v>
      </c>
      <c r="G568" t="s">
        <v>49</v>
      </c>
      <c r="H568" t="s">
        <v>66</v>
      </c>
      <c r="I568">
        <v>30</v>
      </c>
      <c r="J568" s="2">
        <v>46249</v>
      </c>
      <c r="K568" t="s">
        <v>50</v>
      </c>
      <c r="L568" s="2">
        <v>46256</v>
      </c>
      <c r="M568" s="3">
        <v>1767.32</v>
      </c>
      <c r="N568" s="3">
        <v>0</v>
      </c>
      <c r="O568">
        <v>0</v>
      </c>
      <c r="P568" t="s">
        <v>588</v>
      </c>
    </row>
    <row r="569" spans="1:16">
      <c r="A569" s="2">
        <v>46219</v>
      </c>
      <c r="B569" t="s">
        <v>640</v>
      </c>
      <c r="C569" t="s">
        <v>80</v>
      </c>
      <c r="D569" t="s">
        <v>34</v>
      </c>
      <c r="E569" t="s">
        <v>48</v>
      </c>
      <c r="F569" s="3">
        <v>964.74</v>
      </c>
      <c r="G569" t="s">
        <v>44</v>
      </c>
      <c r="H569" t="s">
        <v>66</v>
      </c>
      <c r="I569">
        <v>30</v>
      </c>
      <c r="J569" s="2">
        <v>46249</v>
      </c>
      <c r="K569" t="s">
        <v>38</v>
      </c>
      <c r="L569" s="2"/>
      <c r="M569" s="3">
        <v>0</v>
      </c>
      <c r="N569" s="3">
        <v>964.74</v>
      </c>
      <c r="O569">
        <v>0</v>
      </c>
      <c r="P569" t="s">
        <v>588</v>
      </c>
    </row>
    <row r="570" spans="1:16">
      <c r="A570" s="2">
        <v>46219</v>
      </c>
      <c r="B570" t="s">
        <v>641</v>
      </c>
      <c r="C570" t="s">
        <v>90</v>
      </c>
      <c r="D570" t="s">
        <v>65</v>
      </c>
      <c r="E570" t="s">
        <v>43</v>
      </c>
      <c r="F570" s="3">
        <v>786.74</v>
      </c>
      <c r="G570" t="s">
        <v>36</v>
      </c>
      <c r="H570" t="s">
        <v>37</v>
      </c>
      <c r="I570">
        <v>15</v>
      </c>
      <c r="J570" s="2">
        <v>46234</v>
      </c>
      <c r="K570" t="s">
        <v>50</v>
      </c>
      <c r="L570" s="2">
        <v>46237</v>
      </c>
      <c r="M570" s="3">
        <v>786.74</v>
      </c>
      <c r="N570" s="3">
        <v>0</v>
      </c>
      <c r="O570">
        <v>0</v>
      </c>
      <c r="P570" t="s">
        <v>588</v>
      </c>
    </row>
    <row r="571" spans="1:16">
      <c r="A571" s="2">
        <v>46220</v>
      </c>
      <c r="B571" t="s">
        <v>642</v>
      </c>
      <c r="C571" t="s">
        <v>90</v>
      </c>
      <c r="D571" t="s">
        <v>42</v>
      </c>
      <c r="E571" t="s">
        <v>57</v>
      </c>
      <c r="F571" s="3">
        <v>735.07</v>
      </c>
      <c r="G571" t="s">
        <v>71</v>
      </c>
      <c r="H571" t="s">
        <v>37</v>
      </c>
      <c r="I571">
        <v>45</v>
      </c>
      <c r="J571" s="2">
        <v>46265</v>
      </c>
      <c r="K571" t="s">
        <v>50</v>
      </c>
      <c r="L571" s="2">
        <v>46271</v>
      </c>
      <c r="M571" s="3">
        <v>735.07</v>
      </c>
      <c r="N571" s="3">
        <v>0</v>
      </c>
      <c r="O571">
        <v>0</v>
      </c>
      <c r="P571" t="s">
        <v>588</v>
      </c>
    </row>
    <row r="572" spans="1:16">
      <c r="A572" s="2">
        <v>46220</v>
      </c>
      <c r="B572" t="s">
        <v>643</v>
      </c>
      <c r="C572" t="s">
        <v>80</v>
      </c>
      <c r="D572" t="s">
        <v>34</v>
      </c>
      <c r="E572" t="s">
        <v>48</v>
      </c>
      <c r="F572" s="3">
        <v>2649.89</v>
      </c>
      <c r="G572" t="s">
        <v>49</v>
      </c>
      <c r="H572" t="s">
        <v>37</v>
      </c>
      <c r="I572">
        <v>30</v>
      </c>
      <c r="J572" s="2">
        <v>46250</v>
      </c>
      <c r="K572" t="s">
        <v>50</v>
      </c>
      <c r="L572" s="2">
        <v>46256</v>
      </c>
      <c r="M572" s="3">
        <v>2649.89</v>
      </c>
      <c r="N572" s="3">
        <v>0</v>
      </c>
      <c r="O572">
        <v>0</v>
      </c>
      <c r="P572" t="s">
        <v>588</v>
      </c>
    </row>
    <row r="573" spans="1:16">
      <c r="A573" s="2">
        <v>46220</v>
      </c>
      <c r="B573" t="s">
        <v>644</v>
      </c>
      <c r="C573" t="s">
        <v>47</v>
      </c>
      <c r="D573" t="s">
        <v>42</v>
      </c>
      <c r="E573" t="s">
        <v>48</v>
      </c>
      <c r="F573" s="3">
        <v>993.85</v>
      </c>
      <c r="G573" t="s">
        <v>44</v>
      </c>
      <c r="H573" t="s">
        <v>66</v>
      </c>
      <c r="I573">
        <v>15</v>
      </c>
      <c r="J573" s="2">
        <v>46235</v>
      </c>
      <c r="K573" t="s">
        <v>50</v>
      </c>
      <c r="L573" s="2">
        <v>46244</v>
      </c>
      <c r="M573" s="3">
        <v>993.85</v>
      </c>
      <c r="N573" s="3">
        <v>0</v>
      </c>
      <c r="O573">
        <v>0</v>
      </c>
      <c r="P573" t="s">
        <v>588</v>
      </c>
    </row>
    <row r="574" spans="1:16">
      <c r="A574" s="2">
        <v>46221</v>
      </c>
      <c r="B574" t="s">
        <v>645</v>
      </c>
      <c r="C574" t="s">
        <v>33</v>
      </c>
      <c r="D574" t="s">
        <v>34</v>
      </c>
      <c r="E574" t="s">
        <v>48</v>
      </c>
      <c r="F574" s="3">
        <v>1047.8800000000001</v>
      </c>
      <c r="G574" t="s">
        <v>36</v>
      </c>
      <c r="H574" t="s">
        <v>66</v>
      </c>
      <c r="I574">
        <v>15</v>
      </c>
      <c r="J574" s="2">
        <v>46236</v>
      </c>
      <c r="K574" t="s">
        <v>50</v>
      </c>
      <c r="L574" s="2">
        <v>46246</v>
      </c>
      <c r="M574" s="3">
        <v>1047.8800000000001</v>
      </c>
      <c r="N574" s="3">
        <v>0</v>
      </c>
      <c r="O574">
        <v>0</v>
      </c>
      <c r="P574" t="s">
        <v>588</v>
      </c>
    </row>
    <row r="575" spans="1:16">
      <c r="A575" s="2">
        <v>46221</v>
      </c>
      <c r="B575" t="s">
        <v>646</v>
      </c>
      <c r="C575" t="s">
        <v>90</v>
      </c>
      <c r="D575" t="s">
        <v>34</v>
      </c>
      <c r="E575" t="s">
        <v>48</v>
      </c>
      <c r="F575" s="3">
        <v>621.72</v>
      </c>
      <c r="G575" t="s">
        <v>44</v>
      </c>
      <c r="H575" t="s">
        <v>62</v>
      </c>
      <c r="I575">
        <v>45</v>
      </c>
      <c r="J575" s="2">
        <v>46266</v>
      </c>
      <c r="K575" t="s">
        <v>72</v>
      </c>
      <c r="L575" s="2"/>
      <c r="M575" s="3">
        <v>0</v>
      </c>
      <c r="N575" s="3">
        <v>621.72</v>
      </c>
      <c r="O575">
        <v>1</v>
      </c>
      <c r="P575" t="s">
        <v>588</v>
      </c>
    </row>
    <row r="576" spans="1:16">
      <c r="A576" s="2">
        <v>46222</v>
      </c>
      <c r="B576" t="s">
        <v>647</v>
      </c>
      <c r="C576" t="s">
        <v>90</v>
      </c>
      <c r="D576" t="s">
        <v>34</v>
      </c>
      <c r="E576" t="s">
        <v>53</v>
      </c>
      <c r="F576" s="3">
        <v>3330.97</v>
      </c>
      <c r="G576" t="s">
        <v>36</v>
      </c>
      <c r="H576" t="s">
        <v>62</v>
      </c>
      <c r="I576">
        <v>7</v>
      </c>
      <c r="J576" s="2">
        <v>46229</v>
      </c>
      <c r="K576" t="s">
        <v>72</v>
      </c>
      <c r="L576" s="2"/>
      <c r="M576" s="3">
        <v>0</v>
      </c>
      <c r="N576" s="3">
        <v>3330.97</v>
      </c>
      <c r="O576">
        <v>29</v>
      </c>
      <c r="P576" t="s">
        <v>588</v>
      </c>
    </row>
    <row r="577" spans="1:16">
      <c r="A577" s="2">
        <v>46222</v>
      </c>
      <c r="B577" t="s">
        <v>648</v>
      </c>
      <c r="C577" t="s">
        <v>80</v>
      </c>
      <c r="D577" t="s">
        <v>34</v>
      </c>
      <c r="E577" t="s">
        <v>48</v>
      </c>
      <c r="F577" s="3">
        <v>756.44</v>
      </c>
      <c r="G577" t="s">
        <v>49</v>
      </c>
      <c r="H577" t="s">
        <v>37</v>
      </c>
      <c r="I577">
        <v>15</v>
      </c>
      <c r="J577" s="2">
        <v>46237</v>
      </c>
      <c r="K577" t="s">
        <v>50</v>
      </c>
      <c r="L577" s="2">
        <v>46237</v>
      </c>
      <c r="M577" s="3">
        <v>756.44</v>
      </c>
      <c r="N577" s="3">
        <v>0</v>
      </c>
      <c r="O577">
        <v>0</v>
      </c>
      <c r="P577" t="s">
        <v>588</v>
      </c>
    </row>
    <row r="578" spans="1:16">
      <c r="A578" s="2">
        <v>46222</v>
      </c>
      <c r="B578" t="s">
        <v>649</v>
      </c>
      <c r="C578" t="s">
        <v>74</v>
      </c>
      <c r="D578" t="s">
        <v>65</v>
      </c>
      <c r="E578" t="s">
        <v>53</v>
      </c>
      <c r="F578" s="3">
        <v>546.02</v>
      </c>
      <c r="G578" t="s">
        <v>36</v>
      </c>
      <c r="H578" t="s">
        <v>58</v>
      </c>
      <c r="I578">
        <v>30</v>
      </c>
      <c r="J578" s="2">
        <v>46252</v>
      </c>
      <c r="K578" t="s">
        <v>50</v>
      </c>
      <c r="L578" s="2">
        <v>46260</v>
      </c>
      <c r="M578" s="3">
        <v>546.02</v>
      </c>
      <c r="N578" s="3">
        <v>0</v>
      </c>
      <c r="O578">
        <v>0</v>
      </c>
      <c r="P578" t="s">
        <v>588</v>
      </c>
    </row>
    <row r="579" spans="1:16">
      <c r="A579" s="2">
        <v>46223</v>
      </c>
      <c r="B579" t="s">
        <v>650</v>
      </c>
      <c r="C579" t="s">
        <v>64</v>
      </c>
      <c r="D579" t="s">
        <v>65</v>
      </c>
      <c r="E579" t="s">
        <v>53</v>
      </c>
      <c r="F579" s="3">
        <v>977.66</v>
      </c>
      <c r="G579" t="s">
        <v>49</v>
      </c>
      <c r="H579" t="s">
        <v>69</v>
      </c>
      <c r="I579">
        <v>30</v>
      </c>
      <c r="J579" s="2">
        <v>46253</v>
      </c>
      <c r="K579" t="s">
        <v>50</v>
      </c>
      <c r="L579" s="2">
        <v>46261</v>
      </c>
      <c r="M579" s="3">
        <v>977.66</v>
      </c>
      <c r="N579" s="3">
        <v>0</v>
      </c>
      <c r="O579">
        <v>0</v>
      </c>
      <c r="P579" t="s">
        <v>588</v>
      </c>
    </row>
    <row r="580" spans="1:16">
      <c r="A580" s="2">
        <v>46223</v>
      </c>
      <c r="B580" t="s">
        <v>651</v>
      </c>
      <c r="C580" t="s">
        <v>84</v>
      </c>
      <c r="D580" t="s">
        <v>52</v>
      </c>
      <c r="E580" t="s">
        <v>57</v>
      </c>
      <c r="F580" s="3">
        <v>909.76</v>
      </c>
      <c r="G580" t="s">
        <v>36</v>
      </c>
      <c r="H580" t="s">
        <v>66</v>
      </c>
      <c r="I580">
        <v>30</v>
      </c>
      <c r="J580" s="2">
        <v>46253</v>
      </c>
      <c r="K580" t="s">
        <v>50</v>
      </c>
      <c r="L580" s="2">
        <v>46254</v>
      </c>
      <c r="M580" s="3">
        <v>909.76</v>
      </c>
      <c r="N580" s="3">
        <v>0</v>
      </c>
      <c r="O580">
        <v>0</v>
      </c>
      <c r="P580" t="s">
        <v>588</v>
      </c>
    </row>
    <row r="581" spans="1:16">
      <c r="A581" s="2">
        <v>46224</v>
      </c>
      <c r="B581" t="s">
        <v>652</v>
      </c>
      <c r="C581" t="s">
        <v>90</v>
      </c>
      <c r="D581" t="s">
        <v>52</v>
      </c>
      <c r="E581" t="s">
        <v>43</v>
      </c>
      <c r="F581" s="3">
        <v>1693.82</v>
      </c>
      <c r="G581" t="s">
        <v>71</v>
      </c>
      <c r="H581" t="s">
        <v>69</v>
      </c>
      <c r="I581">
        <v>30</v>
      </c>
      <c r="J581" s="2">
        <v>46254</v>
      </c>
      <c r="K581" t="s">
        <v>38</v>
      </c>
      <c r="L581" s="2"/>
      <c r="M581" s="3">
        <v>0</v>
      </c>
      <c r="N581" s="3">
        <v>1693.82</v>
      </c>
      <c r="O581">
        <v>0</v>
      </c>
      <c r="P581" t="s">
        <v>588</v>
      </c>
    </row>
    <row r="582" spans="1:16">
      <c r="A582" s="2">
        <v>46225</v>
      </c>
      <c r="B582" t="s">
        <v>653</v>
      </c>
      <c r="C582" t="s">
        <v>82</v>
      </c>
      <c r="D582" t="s">
        <v>34</v>
      </c>
      <c r="E582" t="s">
        <v>35</v>
      </c>
      <c r="F582" s="3">
        <v>577.78</v>
      </c>
      <c r="G582" t="s">
        <v>36</v>
      </c>
      <c r="H582" t="s">
        <v>62</v>
      </c>
      <c r="I582">
        <v>15</v>
      </c>
      <c r="J582" s="2">
        <v>46240</v>
      </c>
      <c r="K582" t="s">
        <v>50</v>
      </c>
      <c r="L582" s="2">
        <v>46243</v>
      </c>
      <c r="M582" s="3">
        <v>577.78</v>
      </c>
      <c r="N582" s="3">
        <v>0</v>
      </c>
      <c r="O582">
        <v>0</v>
      </c>
      <c r="P582" t="s">
        <v>588</v>
      </c>
    </row>
    <row r="583" spans="1:16">
      <c r="A583" s="2">
        <v>46225</v>
      </c>
      <c r="B583" t="s">
        <v>654</v>
      </c>
      <c r="C583" t="s">
        <v>64</v>
      </c>
      <c r="D583" t="s">
        <v>42</v>
      </c>
      <c r="E583" t="s">
        <v>48</v>
      </c>
      <c r="F583" s="3">
        <v>1989.45</v>
      </c>
      <c r="G583" t="s">
        <v>36</v>
      </c>
      <c r="H583" t="s">
        <v>62</v>
      </c>
      <c r="I583">
        <v>30</v>
      </c>
      <c r="J583" s="2">
        <v>46255</v>
      </c>
      <c r="K583" t="s">
        <v>50</v>
      </c>
      <c r="L583" s="2">
        <v>46255</v>
      </c>
      <c r="M583" s="3">
        <v>1989.45</v>
      </c>
      <c r="N583" s="3">
        <v>0</v>
      </c>
      <c r="O583">
        <v>0</v>
      </c>
      <c r="P583" t="s">
        <v>588</v>
      </c>
    </row>
    <row r="584" spans="1:16">
      <c r="A584" s="2">
        <v>46226</v>
      </c>
      <c r="B584" t="s">
        <v>655</v>
      </c>
      <c r="C584" t="s">
        <v>68</v>
      </c>
      <c r="D584" t="s">
        <v>34</v>
      </c>
      <c r="E584" t="s">
        <v>48</v>
      </c>
      <c r="F584" s="3">
        <v>1520.8</v>
      </c>
      <c r="G584" t="s">
        <v>49</v>
      </c>
      <c r="H584" t="s">
        <v>58</v>
      </c>
      <c r="I584">
        <v>30</v>
      </c>
      <c r="J584" s="2">
        <v>46256</v>
      </c>
      <c r="K584" t="s">
        <v>50</v>
      </c>
      <c r="L584" s="2">
        <v>46258</v>
      </c>
      <c r="M584" s="3">
        <v>1520.8</v>
      </c>
      <c r="N584" s="3">
        <v>0</v>
      </c>
      <c r="O584">
        <v>0</v>
      </c>
      <c r="P584" t="s">
        <v>588</v>
      </c>
    </row>
    <row r="585" spans="1:16">
      <c r="A585" s="2">
        <v>46226</v>
      </c>
      <c r="B585" t="s">
        <v>656</v>
      </c>
      <c r="C585" t="s">
        <v>90</v>
      </c>
      <c r="D585" t="s">
        <v>34</v>
      </c>
      <c r="E585" t="s">
        <v>35</v>
      </c>
      <c r="F585" s="3">
        <v>7416.04</v>
      </c>
      <c r="G585" t="s">
        <v>36</v>
      </c>
      <c r="H585" t="s">
        <v>62</v>
      </c>
      <c r="I585">
        <v>30</v>
      </c>
      <c r="J585" s="2">
        <v>46256</v>
      </c>
      <c r="K585" t="s">
        <v>50</v>
      </c>
      <c r="L585" s="2">
        <v>46256</v>
      </c>
      <c r="M585" s="3">
        <v>7416.04</v>
      </c>
      <c r="N585" s="3">
        <v>0</v>
      </c>
      <c r="O585">
        <v>0</v>
      </c>
      <c r="P585" t="s">
        <v>588</v>
      </c>
    </row>
    <row r="586" spans="1:16">
      <c r="A586" s="2">
        <v>46226</v>
      </c>
      <c r="B586" t="s">
        <v>657</v>
      </c>
      <c r="C586" t="s">
        <v>82</v>
      </c>
      <c r="D586" t="s">
        <v>52</v>
      </c>
      <c r="E586" t="s">
        <v>43</v>
      </c>
      <c r="F586" s="3">
        <v>1074.51</v>
      </c>
      <c r="G586" t="s">
        <v>71</v>
      </c>
      <c r="H586" t="s">
        <v>69</v>
      </c>
      <c r="I586">
        <v>30</v>
      </c>
      <c r="J586" s="2">
        <v>46256</v>
      </c>
      <c r="K586" t="s">
        <v>50</v>
      </c>
      <c r="L586" s="2">
        <v>46267</v>
      </c>
      <c r="M586" s="3">
        <v>1074.51</v>
      </c>
      <c r="N586" s="3">
        <v>0</v>
      </c>
      <c r="O586">
        <v>0</v>
      </c>
      <c r="P586" t="s">
        <v>588</v>
      </c>
    </row>
    <row r="587" spans="1:16">
      <c r="A587" s="2">
        <v>46226</v>
      </c>
      <c r="B587" t="s">
        <v>658</v>
      </c>
      <c r="C587" t="s">
        <v>56</v>
      </c>
      <c r="D587" t="s">
        <v>34</v>
      </c>
      <c r="E587" t="s">
        <v>35</v>
      </c>
      <c r="F587" s="3">
        <v>2568.9899999999998</v>
      </c>
      <c r="G587" t="s">
        <v>36</v>
      </c>
      <c r="H587" t="s">
        <v>45</v>
      </c>
      <c r="I587">
        <v>7</v>
      </c>
      <c r="J587" s="2">
        <v>46233</v>
      </c>
      <c r="K587" t="s">
        <v>50</v>
      </c>
      <c r="L587" s="2">
        <v>46235</v>
      </c>
      <c r="M587" s="3">
        <v>2568.9899999999998</v>
      </c>
      <c r="N587" s="3">
        <v>0</v>
      </c>
      <c r="O587">
        <v>0</v>
      </c>
      <c r="P587" t="s">
        <v>588</v>
      </c>
    </row>
    <row r="588" spans="1:16">
      <c r="A588" s="2">
        <v>46227</v>
      </c>
      <c r="B588" t="s">
        <v>659</v>
      </c>
      <c r="C588" t="s">
        <v>56</v>
      </c>
      <c r="D588" t="s">
        <v>52</v>
      </c>
      <c r="E588" t="s">
        <v>43</v>
      </c>
      <c r="F588" s="3">
        <v>833.68</v>
      </c>
      <c r="G588" t="s">
        <v>44</v>
      </c>
      <c r="H588" t="s">
        <v>58</v>
      </c>
      <c r="I588">
        <v>30</v>
      </c>
      <c r="J588" s="2">
        <v>46257</v>
      </c>
      <c r="K588" t="s">
        <v>50</v>
      </c>
      <c r="L588" s="2">
        <v>46268</v>
      </c>
      <c r="M588" s="3">
        <v>833.68</v>
      </c>
      <c r="N588" s="3">
        <v>0</v>
      </c>
      <c r="O588">
        <v>0</v>
      </c>
      <c r="P588" t="s">
        <v>588</v>
      </c>
    </row>
    <row r="589" spans="1:16">
      <c r="A589" s="2">
        <v>46227</v>
      </c>
      <c r="B589" t="s">
        <v>660</v>
      </c>
      <c r="C589" t="s">
        <v>56</v>
      </c>
      <c r="D589" t="s">
        <v>52</v>
      </c>
      <c r="E589" t="s">
        <v>48</v>
      </c>
      <c r="F589" s="3">
        <v>3412</v>
      </c>
      <c r="G589" t="s">
        <v>36</v>
      </c>
      <c r="H589" t="s">
        <v>37</v>
      </c>
      <c r="I589">
        <v>15</v>
      </c>
      <c r="J589" s="2">
        <v>46242</v>
      </c>
      <c r="K589" t="s">
        <v>50</v>
      </c>
      <c r="L589" s="2">
        <v>46253</v>
      </c>
      <c r="M589" s="3">
        <v>3412</v>
      </c>
      <c r="N589" s="3">
        <v>0</v>
      </c>
      <c r="O589">
        <v>0</v>
      </c>
      <c r="P589" t="s">
        <v>588</v>
      </c>
    </row>
    <row r="590" spans="1:16">
      <c r="A590" s="2">
        <v>46228</v>
      </c>
      <c r="B590" t="s">
        <v>661</v>
      </c>
      <c r="C590" t="s">
        <v>56</v>
      </c>
      <c r="D590" t="s">
        <v>42</v>
      </c>
      <c r="E590" t="s">
        <v>43</v>
      </c>
      <c r="F590" s="3">
        <v>2015.05</v>
      </c>
      <c r="G590" t="s">
        <v>36</v>
      </c>
      <c r="H590" t="s">
        <v>62</v>
      </c>
      <c r="I590">
        <v>30</v>
      </c>
      <c r="J590" s="2">
        <v>46258</v>
      </c>
      <c r="K590" t="s">
        <v>50</v>
      </c>
      <c r="L590" s="2">
        <v>46259</v>
      </c>
      <c r="M590" s="3">
        <v>2015.05</v>
      </c>
      <c r="N590" s="3">
        <v>0</v>
      </c>
      <c r="O590">
        <v>0</v>
      </c>
      <c r="P590" t="s">
        <v>588</v>
      </c>
    </row>
    <row r="591" spans="1:16">
      <c r="A591" s="2">
        <v>46228</v>
      </c>
      <c r="B591" t="s">
        <v>662</v>
      </c>
      <c r="C591" t="s">
        <v>33</v>
      </c>
      <c r="D591" t="s">
        <v>34</v>
      </c>
      <c r="E591" t="s">
        <v>35</v>
      </c>
      <c r="F591" s="3">
        <v>942.98</v>
      </c>
      <c r="G591" t="s">
        <v>44</v>
      </c>
      <c r="H591" t="s">
        <v>69</v>
      </c>
      <c r="I591">
        <v>30</v>
      </c>
      <c r="J591" s="2">
        <v>46258</v>
      </c>
      <c r="K591" t="s">
        <v>72</v>
      </c>
      <c r="L591" s="2"/>
      <c r="M591" s="3">
        <v>0</v>
      </c>
      <c r="N591" s="3">
        <v>942.98</v>
      </c>
      <c r="O591">
        <v>1</v>
      </c>
      <c r="P591" t="s">
        <v>588</v>
      </c>
    </row>
    <row r="592" spans="1:16">
      <c r="A592" s="2">
        <v>46228</v>
      </c>
      <c r="B592" t="s">
        <v>663</v>
      </c>
      <c r="C592" t="s">
        <v>80</v>
      </c>
      <c r="D592" t="s">
        <v>65</v>
      </c>
      <c r="E592" t="s">
        <v>35</v>
      </c>
      <c r="F592" s="3">
        <v>1161.1500000000001</v>
      </c>
      <c r="G592" t="s">
        <v>36</v>
      </c>
      <c r="H592" t="s">
        <v>69</v>
      </c>
      <c r="I592">
        <v>15</v>
      </c>
      <c r="J592" s="2">
        <v>46243</v>
      </c>
      <c r="K592" t="s">
        <v>50</v>
      </c>
      <c r="L592" s="2">
        <v>46248</v>
      </c>
      <c r="M592" s="3">
        <v>1161.1500000000001</v>
      </c>
      <c r="N592" s="3">
        <v>0</v>
      </c>
      <c r="O592">
        <v>0</v>
      </c>
      <c r="P592" t="s">
        <v>588</v>
      </c>
    </row>
    <row r="593" spans="1:16">
      <c r="A593" s="2">
        <v>46228</v>
      </c>
      <c r="B593" t="s">
        <v>664</v>
      </c>
      <c r="C593" t="s">
        <v>56</v>
      </c>
      <c r="D593" t="s">
        <v>42</v>
      </c>
      <c r="E593" t="s">
        <v>35</v>
      </c>
      <c r="F593" s="3">
        <v>6192.7</v>
      </c>
      <c r="G593" t="s">
        <v>71</v>
      </c>
      <c r="H593" t="s">
        <v>69</v>
      </c>
      <c r="I593">
        <v>45</v>
      </c>
      <c r="J593" s="2">
        <v>46273</v>
      </c>
      <c r="K593" t="s">
        <v>50</v>
      </c>
      <c r="L593" s="2">
        <v>46274</v>
      </c>
      <c r="M593" s="3">
        <v>6192.7</v>
      </c>
      <c r="N593" s="3">
        <v>0</v>
      </c>
      <c r="O593">
        <v>0</v>
      </c>
      <c r="P593" t="s">
        <v>588</v>
      </c>
    </row>
    <row r="594" spans="1:16">
      <c r="A594" s="2">
        <v>46229</v>
      </c>
      <c r="B594" t="s">
        <v>665</v>
      </c>
      <c r="C594" t="s">
        <v>68</v>
      </c>
      <c r="D594" t="s">
        <v>42</v>
      </c>
      <c r="E594" t="s">
        <v>53</v>
      </c>
      <c r="F594" s="3">
        <v>912.5</v>
      </c>
      <c r="G594" t="s">
        <v>71</v>
      </c>
      <c r="H594" t="s">
        <v>69</v>
      </c>
      <c r="I594">
        <v>30</v>
      </c>
      <c r="J594" s="2">
        <v>46259</v>
      </c>
      <c r="K594" t="s">
        <v>50</v>
      </c>
      <c r="L594" s="2">
        <v>46268</v>
      </c>
      <c r="M594" s="3">
        <v>912.5</v>
      </c>
      <c r="N594" s="3">
        <v>0</v>
      </c>
      <c r="O594">
        <v>0</v>
      </c>
      <c r="P594" t="s">
        <v>588</v>
      </c>
    </row>
    <row r="595" spans="1:16">
      <c r="A595" s="2">
        <v>46229</v>
      </c>
      <c r="B595" t="s">
        <v>666</v>
      </c>
      <c r="C595" t="s">
        <v>64</v>
      </c>
      <c r="D595" t="s">
        <v>52</v>
      </c>
      <c r="E595" t="s">
        <v>35</v>
      </c>
      <c r="F595" s="3">
        <v>1508.43</v>
      </c>
      <c r="G595" t="s">
        <v>44</v>
      </c>
      <c r="H595" t="s">
        <v>37</v>
      </c>
      <c r="I595">
        <v>7</v>
      </c>
      <c r="J595" s="2">
        <v>46236</v>
      </c>
      <c r="K595" t="s">
        <v>38</v>
      </c>
      <c r="L595" s="2"/>
      <c r="M595" s="3">
        <v>0</v>
      </c>
      <c r="N595" s="3">
        <v>1508.43</v>
      </c>
      <c r="O595">
        <v>0</v>
      </c>
      <c r="P595" t="s">
        <v>588</v>
      </c>
    </row>
    <row r="596" spans="1:16">
      <c r="A596" s="2">
        <v>46230</v>
      </c>
      <c r="B596" t="s">
        <v>667</v>
      </c>
      <c r="C596" t="s">
        <v>33</v>
      </c>
      <c r="D596" t="s">
        <v>52</v>
      </c>
      <c r="E596" t="s">
        <v>35</v>
      </c>
      <c r="F596" s="3">
        <v>1177.1099999999999</v>
      </c>
      <c r="G596" t="s">
        <v>44</v>
      </c>
      <c r="H596" t="s">
        <v>37</v>
      </c>
      <c r="I596">
        <v>30</v>
      </c>
      <c r="J596" s="2">
        <v>46260</v>
      </c>
      <c r="K596" t="s">
        <v>72</v>
      </c>
      <c r="L596" s="2"/>
      <c r="M596" s="3">
        <v>0</v>
      </c>
      <c r="N596" s="3">
        <v>1177.1099999999999</v>
      </c>
      <c r="O596">
        <v>1</v>
      </c>
      <c r="P596" t="s">
        <v>588</v>
      </c>
    </row>
    <row r="597" spans="1:16">
      <c r="A597" s="2">
        <v>46230</v>
      </c>
      <c r="B597" t="s">
        <v>668</v>
      </c>
      <c r="C597" t="s">
        <v>84</v>
      </c>
      <c r="D597" t="s">
        <v>65</v>
      </c>
      <c r="E597" t="s">
        <v>48</v>
      </c>
      <c r="F597" s="3">
        <v>1908.99</v>
      </c>
      <c r="G597" t="s">
        <v>44</v>
      </c>
      <c r="H597" t="s">
        <v>69</v>
      </c>
      <c r="I597">
        <v>15</v>
      </c>
      <c r="J597" s="2">
        <v>46245</v>
      </c>
      <c r="K597" t="s">
        <v>50</v>
      </c>
      <c r="L597" s="2">
        <v>46246</v>
      </c>
      <c r="M597" s="3">
        <v>1908.99</v>
      </c>
      <c r="N597" s="3">
        <v>0</v>
      </c>
      <c r="O597">
        <v>0</v>
      </c>
      <c r="P597" t="s">
        <v>588</v>
      </c>
    </row>
    <row r="598" spans="1:16">
      <c r="A598" s="2">
        <v>46230</v>
      </c>
      <c r="B598" t="s">
        <v>669</v>
      </c>
      <c r="C598" t="s">
        <v>74</v>
      </c>
      <c r="D598" t="s">
        <v>65</v>
      </c>
      <c r="E598" t="s">
        <v>35</v>
      </c>
      <c r="F598" s="3">
        <v>2232.6799999999998</v>
      </c>
      <c r="G598" t="s">
        <v>49</v>
      </c>
      <c r="H598" t="s">
        <v>62</v>
      </c>
      <c r="I598">
        <v>7</v>
      </c>
      <c r="J598" s="2">
        <v>46237</v>
      </c>
      <c r="K598" t="s">
        <v>50</v>
      </c>
      <c r="L598" s="2">
        <v>46239</v>
      </c>
      <c r="M598" s="3">
        <v>2232.6799999999998</v>
      </c>
      <c r="N598" s="3">
        <v>0</v>
      </c>
      <c r="O598">
        <v>0</v>
      </c>
      <c r="P598" t="s">
        <v>588</v>
      </c>
    </row>
    <row r="599" spans="1:16">
      <c r="A599" s="2">
        <v>46230</v>
      </c>
      <c r="B599" t="s">
        <v>670</v>
      </c>
      <c r="C599" t="s">
        <v>47</v>
      </c>
      <c r="D599" t="s">
        <v>65</v>
      </c>
      <c r="E599" t="s">
        <v>53</v>
      </c>
      <c r="F599" s="3">
        <v>5959.18</v>
      </c>
      <c r="G599" t="s">
        <v>71</v>
      </c>
      <c r="H599" t="s">
        <v>37</v>
      </c>
      <c r="I599">
        <v>30</v>
      </c>
      <c r="J599" s="2">
        <v>46260</v>
      </c>
      <c r="K599" t="s">
        <v>50</v>
      </c>
      <c r="L599" s="2">
        <v>46271</v>
      </c>
      <c r="M599" s="3">
        <v>5959.18</v>
      </c>
      <c r="N599" s="3">
        <v>0</v>
      </c>
      <c r="O599">
        <v>0</v>
      </c>
      <c r="P599" t="s">
        <v>588</v>
      </c>
    </row>
    <row r="600" spans="1:16">
      <c r="A600" s="2">
        <v>46230</v>
      </c>
      <c r="B600" t="s">
        <v>671</v>
      </c>
      <c r="C600" t="s">
        <v>64</v>
      </c>
      <c r="D600" t="s">
        <v>34</v>
      </c>
      <c r="E600" t="s">
        <v>43</v>
      </c>
      <c r="F600" s="3">
        <v>768.1</v>
      </c>
      <c r="G600" t="s">
        <v>36</v>
      </c>
      <c r="H600" t="s">
        <v>45</v>
      </c>
      <c r="I600">
        <v>45</v>
      </c>
      <c r="J600" s="2">
        <v>46275</v>
      </c>
      <c r="K600" t="s">
        <v>50</v>
      </c>
      <c r="L600" s="2">
        <v>46275</v>
      </c>
      <c r="M600" s="3">
        <v>768.1</v>
      </c>
      <c r="N600" s="3">
        <v>0</v>
      </c>
      <c r="O600">
        <v>0</v>
      </c>
      <c r="P600" t="s">
        <v>588</v>
      </c>
    </row>
    <row r="601" spans="1:16">
      <c r="A601" s="2">
        <v>46233</v>
      </c>
      <c r="B601" t="s">
        <v>672</v>
      </c>
      <c r="C601" t="s">
        <v>61</v>
      </c>
      <c r="D601" t="s">
        <v>65</v>
      </c>
      <c r="E601" t="s">
        <v>53</v>
      </c>
      <c r="F601" s="3">
        <v>597.73</v>
      </c>
      <c r="G601" t="s">
        <v>71</v>
      </c>
      <c r="H601" t="s">
        <v>45</v>
      </c>
      <c r="I601">
        <v>7</v>
      </c>
      <c r="J601" s="2">
        <v>46240</v>
      </c>
      <c r="K601" t="s">
        <v>38</v>
      </c>
      <c r="L601" s="2"/>
      <c r="M601" s="3">
        <v>0</v>
      </c>
      <c r="N601" s="3">
        <v>597.73</v>
      </c>
      <c r="O601">
        <v>0</v>
      </c>
      <c r="P601" t="s">
        <v>588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23E69-D58C-4E6F-BDE4-7CC159D4645A}">
  <dimension ref="A3:B34"/>
  <sheetViews>
    <sheetView tabSelected="1" topLeftCell="A4" workbookViewId="0">
      <selection activeCell="L28" sqref="L28"/>
    </sheetView>
  </sheetViews>
  <sheetFormatPr defaultRowHeight="15"/>
  <cols>
    <col min="1" max="1" width="19.42578125" bestFit="1" customWidth="1"/>
    <col min="2" max="2" width="23.5703125" bestFit="1" customWidth="1"/>
    <col min="7" max="7" width="18" bestFit="1" customWidth="1"/>
    <col min="8" max="8" width="23.5703125" bestFit="1" customWidth="1"/>
  </cols>
  <sheetData>
    <row r="3" spans="1:2">
      <c r="A3" s="14" t="s">
        <v>697</v>
      </c>
      <c r="B3" t="s">
        <v>698</v>
      </c>
    </row>
    <row r="4" spans="1:2">
      <c r="A4" s="15" t="s">
        <v>38</v>
      </c>
      <c r="B4" s="3">
        <v>193938.98999999996</v>
      </c>
    </row>
    <row r="5" spans="1:2">
      <c r="A5" s="15" t="s">
        <v>72</v>
      </c>
      <c r="B5" s="3">
        <v>107564.33999999998</v>
      </c>
    </row>
    <row r="6" spans="1:2">
      <c r="A6" s="15" t="s">
        <v>50</v>
      </c>
      <c r="B6" s="3">
        <v>735474.71999999962</v>
      </c>
    </row>
    <row r="7" spans="1:2">
      <c r="A7" s="15" t="s">
        <v>699</v>
      </c>
      <c r="B7" s="3">
        <v>1036978.0499999996</v>
      </c>
    </row>
    <row r="10" spans="1:2">
      <c r="A10" s="14" t="s">
        <v>697</v>
      </c>
      <c r="B10" t="s">
        <v>698</v>
      </c>
    </row>
    <row r="11" spans="1:2">
      <c r="A11" s="15" t="s">
        <v>64</v>
      </c>
      <c r="B11" s="3">
        <v>93705.369999999981</v>
      </c>
    </row>
    <row r="12" spans="1:2">
      <c r="A12" s="15" t="s">
        <v>90</v>
      </c>
      <c r="B12" s="3">
        <v>82256.370000000024</v>
      </c>
    </row>
    <row r="13" spans="1:2">
      <c r="A13" s="15" t="s">
        <v>33</v>
      </c>
      <c r="B13" s="3">
        <v>77635.12999999999</v>
      </c>
    </row>
    <row r="14" spans="1:2">
      <c r="A14" s="15" t="s">
        <v>80</v>
      </c>
      <c r="B14" s="3">
        <v>86348.450000000012</v>
      </c>
    </row>
    <row r="15" spans="1:2">
      <c r="A15" s="15" t="s">
        <v>82</v>
      </c>
      <c r="B15" s="3">
        <v>76494.559999999969</v>
      </c>
    </row>
    <row r="16" spans="1:2">
      <c r="A16" s="15" t="s">
        <v>47</v>
      </c>
      <c r="B16" s="3">
        <v>105362.23000000004</v>
      </c>
    </row>
    <row r="17" spans="1:2">
      <c r="A17" s="15" t="s">
        <v>61</v>
      </c>
      <c r="B17" s="3">
        <v>66265.669999999969</v>
      </c>
    </row>
    <row r="18" spans="1:2">
      <c r="A18" s="15" t="s">
        <v>41</v>
      </c>
      <c r="B18" s="3">
        <v>87793.63</v>
      </c>
    </row>
    <row r="19" spans="1:2">
      <c r="A19" s="15" t="s">
        <v>74</v>
      </c>
      <c r="B19" s="3">
        <v>71486.729999999981</v>
      </c>
    </row>
    <row r="20" spans="1:2">
      <c r="A20" s="15" t="s">
        <v>56</v>
      </c>
      <c r="B20" s="3">
        <v>106603.86000000002</v>
      </c>
    </row>
    <row r="21" spans="1:2">
      <c r="A21" s="15" t="s">
        <v>84</v>
      </c>
      <c r="B21" s="3">
        <v>106498.84999999999</v>
      </c>
    </row>
    <row r="22" spans="1:2">
      <c r="A22" s="15" t="s">
        <v>68</v>
      </c>
      <c r="B22" s="3">
        <v>76527.200000000012</v>
      </c>
    </row>
    <row r="23" spans="1:2">
      <c r="A23" s="15" t="s">
        <v>699</v>
      </c>
      <c r="B23" s="3">
        <v>1036978.05</v>
      </c>
    </row>
    <row r="26" spans="1:2">
      <c r="A26" s="14" t="s">
        <v>697</v>
      </c>
      <c r="B26" t="s">
        <v>698</v>
      </c>
    </row>
    <row r="27" spans="1:2">
      <c r="A27" s="15" t="s">
        <v>39</v>
      </c>
      <c r="B27" s="3">
        <v>139657.43</v>
      </c>
    </row>
    <row r="28" spans="1:2">
      <c r="A28" s="15" t="s">
        <v>151</v>
      </c>
      <c r="B28" s="3">
        <v>151927.27000000005</v>
      </c>
    </row>
    <row r="29" spans="1:2">
      <c r="A29" s="15" t="s">
        <v>239</v>
      </c>
      <c r="B29" s="3">
        <v>131170.30999999997</v>
      </c>
    </row>
    <row r="30" spans="1:2">
      <c r="A30" s="15" t="s">
        <v>314</v>
      </c>
      <c r="B30" s="3">
        <v>152332.02000000008</v>
      </c>
    </row>
    <row r="31" spans="1:2">
      <c r="A31" s="15" t="s">
        <v>406</v>
      </c>
      <c r="B31" s="3">
        <v>158473.30000000005</v>
      </c>
    </row>
    <row r="32" spans="1:2">
      <c r="A32" s="15" t="s">
        <v>506</v>
      </c>
      <c r="B32" s="3">
        <v>158567.13999999998</v>
      </c>
    </row>
    <row r="33" spans="1:2">
      <c r="A33" s="15" t="s">
        <v>588</v>
      </c>
      <c r="B33" s="3">
        <v>144850.58000000002</v>
      </c>
    </row>
    <row r="34" spans="1:2">
      <c r="A34" s="15" t="s">
        <v>699</v>
      </c>
      <c r="B34" s="3">
        <v>1036978.05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B4BD-4D03-4260-8435-73F93E39EC85}">
  <dimension ref="B2:N7"/>
  <sheetViews>
    <sheetView showGridLines="0" zoomScale="85" zoomScaleNormal="85" workbookViewId="0">
      <selection activeCell="S18" sqref="S17:S18"/>
    </sheetView>
  </sheetViews>
  <sheetFormatPr defaultRowHeight="15"/>
  <cols>
    <col min="2" max="2" width="41.85546875" customWidth="1"/>
    <col min="5" max="5" width="14" customWidth="1"/>
    <col min="8" max="8" width="17.85546875" bestFit="1" customWidth="1"/>
    <col min="10" max="10" width="7.5703125" customWidth="1"/>
    <col min="11" max="11" width="25.42578125" customWidth="1"/>
    <col min="13" max="13" width="8.5703125" customWidth="1"/>
    <col min="14" max="14" width="24" customWidth="1"/>
  </cols>
  <sheetData>
    <row r="2" spans="2:14" ht="26.25">
      <c r="B2" s="24" t="s">
        <v>700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2:14">
      <c r="B3" s="23" t="s">
        <v>701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2:14" ht="15.75" thickBot="1"/>
    <row r="5" spans="2:14">
      <c r="B5" s="17" t="s">
        <v>681</v>
      </c>
      <c r="C5" s="16"/>
      <c r="E5" s="17" t="s">
        <v>682</v>
      </c>
      <c r="F5" s="16"/>
      <c r="G5" s="16"/>
      <c r="H5" s="17" t="s">
        <v>688</v>
      </c>
      <c r="I5" s="16"/>
      <c r="K5" s="17" t="s">
        <v>686</v>
      </c>
      <c r="L5" s="16"/>
      <c r="N5" s="17" t="s">
        <v>702</v>
      </c>
    </row>
    <row r="6" spans="2:14">
      <c r="B6" s="22">
        <f>SUM(tblBaseDados[Valor_Operacao])</f>
        <v>1036978.0500000002</v>
      </c>
      <c r="C6" s="16"/>
      <c r="E6" s="22">
        <f>SUM(tblBaseDados[Valor_Pago])</f>
        <v>735474.71999999962</v>
      </c>
      <c r="F6" s="16"/>
      <c r="G6" s="16"/>
      <c r="H6" s="21">
        <f>SUM(tblBaseDados[Valor_Em_Aberto])</f>
        <v>301503.32999999984</v>
      </c>
      <c r="I6" s="16"/>
      <c r="K6" s="20">
        <f>COUNTIF(tblBaseDados[Status],"Em atraso")/COUNTA(tblBaseDados[Nota_Fiscal])</f>
        <v>0.11166666666666666</v>
      </c>
      <c r="L6" s="16"/>
      <c r="N6" s="18">
        <f>COUNTA(tblBaseDados[Nota_Fiscal])</f>
        <v>600</v>
      </c>
    </row>
    <row r="7" spans="2:14" ht="15.75" thickBot="1">
      <c r="B7" s="19"/>
      <c r="C7" s="16"/>
      <c r="E7" s="19"/>
      <c r="F7" s="16"/>
      <c r="G7" s="16"/>
      <c r="H7" s="19"/>
      <c r="I7" s="16"/>
      <c r="K7" s="19"/>
      <c r="L7" s="16"/>
      <c r="N7" s="19"/>
    </row>
  </sheetData>
  <mergeCells count="2">
    <mergeCell ref="B3:N3"/>
    <mergeCell ref="B2:N2"/>
  </mergeCells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10C0-969D-4ED3-A660-CCBEAF949A01}">
  <dimension ref="A1:E8"/>
  <sheetViews>
    <sheetView workbookViewId="0">
      <selection activeCell="L9" sqref="L9"/>
    </sheetView>
  </sheetViews>
  <sheetFormatPr defaultRowHeight="15"/>
  <cols>
    <col min="1" max="1" width="31.7109375" customWidth="1"/>
    <col min="2" max="2" width="21.140625" customWidth="1"/>
    <col min="4" max="4" width="35.85546875" customWidth="1"/>
    <col min="5" max="5" width="25" customWidth="1"/>
    <col min="10" max="10" width="13" customWidth="1"/>
  </cols>
  <sheetData>
    <row r="1" spans="1:5" ht="15.75" thickBot="1">
      <c r="A1" s="9" t="s">
        <v>687</v>
      </c>
      <c r="B1" s="9" t="s">
        <v>696</v>
      </c>
      <c r="D1" s="9" t="s">
        <v>690</v>
      </c>
      <c r="E1" s="9" t="s">
        <v>695</v>
      </c>
    </row>
    <row r="2" spans="1:5">
      <c r="A2" s="7" t="s">
        <v>681</v>
      </c>
      <c r="B2" s="8">
        <f>SUM(tblBaseDados[Valor_Operacao])</f>
        <v>1036978.0500000002</v>
      </c>
      <c r="D2" s="10" t="s">
        <v>692</v>
      </c>
      <c r="E2" s="11">
        <f>SUMIFS(tblBaseDados[Valor_Operacao],tblBaseDados[Departamento],D2)</f>
        <v>330258.85999999981</v>
      </c>
    </row>
    <row r="3" spans="1:5">
      <c r="A3" s="4" t="s">
        <v>682</v>
      </c>
      <c r="B3" s="5">
        <f>SUM(tblBaseDados[Valor_Pago])</f>
        <v>735474.71999999962</v>
      </c>
      <c r="D3" s="12" t="s">
        <v>693</v>
      </c>
      <c r="E3" s="13">
        <f>SUMIFS(tblBaseDados[Valor_Operacao],tblBaseDados[Departamento],D3)</f>
        <v>284257.7099999999</v>
      </c>
    </row>
    <row r="4" spans="1:5">
      <c r="A4" s="4" t="s">
        <v>688</v>
      </c>
      <c r="B4" s="5">
        <f>SUM(tblBaseDados[Valor_Em_Aberto])</f>
        <v>301503.32999999984</v>
      </c>
      <c r="D4" s="12" t="s">
        <v>694</v>
      </c>
      <c r="E4" s="13">
        <f>SUMIFS(tblBaseDados[Valor_Operacao],tblBaseDados[Departamento],D4)</f>
        <v>211341.70999999993</v>
      </c>
    </row>
    <row r="5" spans="1:5">
      <c r="A5" s="4" t="s">
        <v>683</v>
      </c>
      <c r="B5" s="4">
        <f>COUNTA(tblBaseDados[Nota_Fiscal])</f>
        <v>600</v>
      </c>
      <c r="D5" s="7" t="s">
        <v>691</v>
      </c>
      <c r="E5" s="8">
        <f>SUMIFS(tblBaseDados[Valor_Operacao],tblBaseDados[Departamento],D5)</f>
        <v>211119.77</v>
      </c>
    </row>
    <row r="6" spans="1:5">
      <c r="A6" s="4" t="s">
        <v>684</v>
      </c>
      <c r="B6" s="5">
        <f>AVERAGE(tblBaseDados[Valor_Operacao])</f>
        <v>1728.2967500000002</v>
      </c>
    </row>
    <row r="7" spans="1:5">
      <c r="A7" s="4" t="s">
        <v>685</v>
      </c>
      <c r="B7" s="4">
        <f>COUNTIF(tblBaseDados[Status],"Em atraso")</f>
        <v>67</v>
      </c>
    </row>
    <row r="8" spans="1:5">
      <c r="A8" s="4" t="s">
        <v>689</v>
      </c>
      <c r="B8" s="6">
        <f>COUNTIF(tblBaseDados[Status],"Em atraso")/COUNTA(tblBaseDados[Nota_Fiscal])</f>
        <v>0.11166666666666666</v>
      </c>
    </row>
  </sheetData>
  <sortState xmlns:xlrd2="http://schemas.microsoft.com/office/spreadsheetml/2017/richdata2" ref="D2:E5">
    <sortCondition descending="1" ref="E2:E5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>
      <pane ySplit="1" topLeftCell="A2" activePane="bottomLeft" state="frozen"/>
      <selection pane="bottomLeft" activeCell="E7" sqref="E7"/>
    </sheetView>
  </sheetViews>
  <sheetFormatPr defaultRowHeight="15"/>
  <cols>
    <col min="1" max="1" width="25" customWidth="1"/>
    <col min="2" max="2" width="16.42578125" customWidth="1"/>
  </cols>
  <sheetData>
    <row r="1" spans="1:2">
      <c r="A1" s="1" t="s">
        <v>673</v>
      </c>
      <c r="B1" s="1" t="s">
        <v>674</v>
      </c>
    </row>
    <row r="2" spans="1:2">
      <c r="A2" t="s">
        <v>675</v>
      </c>
      <c r="B2" s="3">
        <v>1036978.05</v>
      </c>
    </row>
    <row r="3" spans="1:2">
      <c r="A3" t="s">
        <v>676</v>
      </c>
      <c r="B3" s="3">
        <v>735474.72</v>
      </c>
    </row>
    <row r="4" spans="1:2">
      <c r="A4" t="s">
        <v>677</v>
      </c>
      <c r="B4" s="3">
        <v>301503.33</v>
      </c>
    </row>
    <row r="5" spans="1:2">
      <c r="A5" t="s">
        <v>678</v>
      </c>
      <c r="B5" s="3">
        <v>600</v>
      </c>
    </row>
    <row r="6" spans="1:2">
      <c r="A6" t="s">
        <v>679</v>
      </c>
      <c r="B6" s="3">
        <v>1728.29675</v>
      </c>
    </row>
    <row r="7" spans="1:2">
      <c r="A7" t="s">
        <v>680</v>
      </c>
      <c r="B7" s="3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Projeto</vt:lpstr>
      <vt:lpstr>Base_Dados</vt:lpstr>
      <vt:lpstr>Tabelas_Dinamicas</vt:lpstr>
      <vt:lpstr>Dashboard_Excel</vt:lpstr>
      <vt:lpstr>Analise</vt:lpstr>
      <vt:lpstr>KPIs_Referencia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Mathews Souza Santos</cp:lastModifiedBy>
  <dcterms:created xsi:type="dcterms:W3CDTF">2026-08-25T13:59:06Z</dcterms:created>
  <dcterms:modified xsi:type="dcterms:W3CDTF">2026-08-27T14:09:03Z</dcterms:modified>
</cp:coreProperties>
</file>